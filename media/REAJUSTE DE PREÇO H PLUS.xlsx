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gov01\Desktop\"/>
    </mc:Choice>
  </mc:AlternateContent>
  <xr:revisionPtr revIDLastSave="0" documentId="8_{9FFFA488-801F-43B1-B801-1FAB24F00048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ATHOS BULCÃO" sheetId="1" r:id="rId1"/>
    <sheet name="POOL - MENSAL" sheetId="4" r:id="rId2"/>
    <sheet name="CONDOMINIO" sheetId="5" r:id="rId3"/>
    <sheet name="EVENTOS" sheetId="7" r:id="rId4"/>
    <sheet name=" PPU" sheetId="8" r:id="rId5"/>
    <sheet name=" CLUB" sheetId="9" r:id="rId6"/>
  </sheets>
  <definedNames>
    <definedName name="_xlnm.Print_Area" localSheetId="4">' PPU'!$A$1:$Z$17</definedName>
    <definedName name="_xlnm.Print_Area" localSheetId="0">'ATHOS BULCÃO'!$A$1:$AU$52</definedName>
    <definedName name="_xlnm.Print_Area" localSheetId="2">CONDOMINIO!$A$1:$Z$21</definedName>
    <definedName name="_xlnm.Print_Area" localSheetId="3">EVENTOS!$A$1:$J$20</definedName>
    <definedName name="_xlnm.Print_Area" localSheetId="1">'POOL - MENSAL'!$A$1:$L$42</definedName>
    <definedName name="_xlnm.Print_Titles" localSheetId="1">'POOL - MENSAL'!$A:$A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4" l="1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Y12" i="8"/>
  <c r="Y11" i="8"/>
  <c r="Y10" i="8"/>
  <c r="Y9" i="8"/>
  <c r="Y8" i="8"/>
  <c r="Y7" i="8"/>
  <c r="Y6" i="8"/>
  <c r="Y5" i="8"/>
  <c r="Y15" i="5"/>
  <c r="Y14" i="5"/>
  <c r="Y13" i="5"/>
  <c r="Y12" i="5"/>
  <c r="H17" i="7"/>
  <c r="H16" i="7"/>
  <c r="H15" i="7"/>
  <c r="H14" i="7"/>
  <c r="H13" i="7"/>
  <c r="H12" i="7"/>
  <c r="H11" i="7"/>
  <c r="H10" i="7"/>
  <c r="H9" i="7"/>
  <c r="H8" i="7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H14" i="9"/>
  <c r="D14" i="9"/>
  <c r="H13" i="9"/>
  <c r="D13" i="9"/>
  <c r="M44" i="8"/>
  <c r="M46" i="8" s="1"/>
  <c r="K44" i="8"/>
  <c r="J44" i="8"/>
  <c r="I44" i="8"/>
  <c r="I46" i="8" s="1"/>
  <c r="H44" i="8"/>
  <c r="H46" i="8" s="1"/>
  <c r="G44" i="8"/>
  <c r="G46" i="8" s="1"/>
  <c r="F44" i="8"/>
  <c r="F46" i="8" s="1"/>
  <c r="E44" i="8"/>
  <c r="E46" i="8" s="1"/>
  <c r="W12" i="8"/>
  <c r="W11" i="8"/>
  <c r="W10" i="8"/>
  <c r="Z10" i="8" s="1"/>
  <c r="Z9" i="8"/>
  <c r="W9" i="8"/>
  <c r="W8" i="8"/>
  <c r="W7" i="8"/>
  <c r="Z7" i="8" s="1"/>
  <c r="W6" i="8"/>
  <c r="Z5" i="8"/>
  <c r="W5" i="8"/>
  <c r="D37" i="7"/>
  <c r="I37" i="7" s="1"/>
  <c r="D36" i="7"/>
  <c r="I36" i="7" s="1"/>
  <c r="D35" i="7"/>
  <c r="I35" i="7" s="1"/>
  <c r="D34" i="7"/>
  <c r="I34" i="7" s="1"/>
  <c r="D33" i="7"/>
  <c r="D32" i="7"/>
  <c r="F32" i="7" s="1"/>
  <c r="D31" i="7"/>
  <c r="F31" i="7" s="1"/>
  <c r="D30" i="7"/>
  <c r="D29" i="7"/>
  <c r="D28" i="7"/>
  <c r="F28" i="7" s="1"/>
  <c r="D17" i="7"/>
  <c r="I17" i="7" s="1"/>
  <c r="D16" i="7"/>
  <c r="F16" i="7" s="1"/>
  <c r="D15" i="7"/>
  <c r="D14" i="7"/>
  <c r="F14" i="7" s="1"/>
  <c r="D13" i="7"/>
  <c r="D12" i="7"/>
  <c r="F12" i="7" s="1"/>
  <c r="D11" i="7"/>
  <c r="D10" i="7"/>
  <c r="F10" i="7" s="1"/>
  <c r="D9" i="7"/>
  <c r="I9" i="7" s="1"/>
  <c r="D8" i="7"/>
  <c r="I8" i="7" s="1"/>
  <c r="U15" i="5"/>
  <c r="W15" i="5" s="1"/>
  <c r="U14" i="5"/>
  <c r="Z14" i="5" s="1"/>
  <c r="U13" i="5"/>
  <c r="W13" i="5" s="1"/>
  <c r="U12" i="5"/>
  <c r="D40" i="4"/>
  <c r="D39" i="4"/>
  <c r="D38" i="4"/>
  <c r="F38" i="4" s="1"/>
  <c r="D37" i="4"/>
  <c r="F37" i="4" s="1"/>
  <c r="D36" i="4"/>
  <c r="F36" i="4" s="1"/>
  <c r="D35" i="4"/>
  <c r="D34" i="4"/>
  <c r="F34" i="4" s="1"/>
  <c r="D33" i="4"/>
  <c r="F33" i="4" s="1"/>
  <c r="D32" i="4"/>
  <c r="F32" i="4" s="1"/>
  <c r="D31" i="4"/>
  <c r="D30" i="4"/>
  <c r="F30" i="4" s="1"/>
  <c r="D29" i="4"/>
  <c r="F29" i="4" s="1"/>
  <c r="D28" i="4"/>
  <c r="F28" i="4" s="1"/>
  <c r="D27" i="4"/>
  <c r="F27" i="4" s="1"/>
  <c r="D26" i="4"/>
  <c r="D25" i="4"/>
  <c r="F25" i="4" s="1"/>
  <c r="D24" i="4"/>
  <c r="F24" i="4" s="1"/>
  <c r="D23" i="4"/>
  <c r="F23" i="4" s="1"/>
  <c r="D22" i="4"/>
  <c r="D21" i="4"/>
  <c r="F21" i="4" s="1"/>
  <c r="D20" i="4"/>
  <c r="F20" i="4" s="1"/>
  <c r="D19" i="4"/>
  <c r="F19" i="4" s="1"/>
  <c r="D18" i="4"/>
  <c r="D17" i="4"/>
  <c r="D16" i="4"/>
  <c r="F16" i="4" s="1"/>
  <c r="D13" i="4"/>
  <c r="D12" i="4"/>
  <c r="D11" i="4"/>
  <c r="F11" i="4" s="1"/>
  <c r="D10" i="4"/>
  <c r="G46" i="1"/>
  <c r="L46" i="1" s="1"/>
  <c r="G45" i="1"/>
  <c r="G44" i="1"/>
  <c r="G43" i="1"/>
  <c r="G42" i="1"/>
  <c r="G41" i="1"/>
  <c r="G40" i="1"/>
  <c r="G39" i="1"/>
  <c r="G38" i="1"/>
  <c r="L38" i="1" s="1"/>
  <c r="G37" i="1"/>
  <c r="G36" i="1"/>
  <c r="G35" i="1"/>
  <c r="G34" i="1"/>
  <c r="G33" i="1"/>
  <c r="G32" i="1"/>
  <c r="G31" i="1"/>
  <c r="G30" i="1"/>
  <c r="L30" i="1" s="1"/>
  <c r="G27" i="1"/>
  <c r="L27" i="1" s="1"/>
  <c r="G26" i="1"/>
  <c r="G25" i="1"/>
  <c r="G24" i="1"/>
  <c r="G23" i="1"/>
  <c r="G22" i="1"/>
  <c r="L22" i="1" s="1"/>
  <c r="G21" i="1"/>
  <c r="L21" i="1" s="1"/>
  <c r="G20" i="1"/>
  <c r="G17" i="1"/>
  <c r="L17" i="1" s="1"/>
  <c r="G16" i="1"/>
  <c r="G14" i="1"/>
  <c r="L14" i="1" s="1"/>
  <c r="G13" i="1"/>
  <c r="L13" i="1" s="1"/>
  <c r="G11" i="1"/>
  <c r="I32" i="4" l="1"/>
  <c r="I27" i="4"/>
  <c r="I11" i="4"/>
  <c r="I28" i="4"/>
  <c r="I39" i="4"/>
  <c r="I19" i="4"/>
  <c r="I40" i="4"/>
  <c r="I33" i="4"/>
  <c r="I21" i="4"/>
  <c r="I12" i="4"/>
  <c r="I30" i="4"/>
  <c r="I12" i="7"/>
  <c r="I14" i="9"/>
  <c r="F14" i="9"/>
  <c r="Z6" i="8"/>
  <c r="M48" i="8"/>
  <c r="I14" i="7"/>
  <c r="I16" i="7"/>
  <c r="I10" i="7"/>
  <c r="I18" i="7" s="1"/>
  <c r="I11" i="7"/>
  <c r="I31" i="7"/>
  <c r="Z13" i="5"/>
  <c r="Z15" i="5"/>
  <c r="U16" i="5"/>
  <c r="I13" i="7"/>
  <c r="I15" i="7"/>
  <c r="L32" i="1"/>
  <c r="L23" i="1"/>
  <c r="L34" i="1"/>
  <c r="L25" i="1"/>
  <c r="L35" i="1"/>
  <c r="L31" i="1"/>
  <c r="L40" i="1"/>
  <c r="L42" i="1"/>
  <c r="L26" i="1"/>
  <c r="L36" i="1"/>
  <c r="L44" i="1"/>
  <c r="L11" i="1"/>
  <c r="I29" i="7"/>
  <c r="F29" i="7"/>
  <c r="I17" i="4"/>
  <c r="F17" i="4"/>
  <c r="F13" i="9"/>
  <c r="F15" i="9" s="1"/>
  <c r="I13" i="9"/>
  <c r="L39" i="1"/>
  <c r="L43" i="1"/>
  <c r="I33" i="7"/>
  <c r="F33" i="7"/>
  <c r="I24" i="4"/>
  <c r="I38" i="4"/>
  <c r="G19" i="1"/>
  <c r="L19" i="1" s="1"/>
  <c r="F12" i="4"/>
  <c r="I36" i="4"/>
  <c r="W12" i="5"/>
  <c r="W14" i="5"/>
  <c r="F9" i="7"/>
  <c r="F11" i="7"/>
  <c r="F13" i="7"/>
  <c r="F15" i="7"/>
  <c r="F17" i="7"/>
  <c r="I29" i="4"/>
  <c r="L20" i="1"/>
  <c r="L24" i="1"/>
  <c r="G28" i="1"/>
  <c r="L28" i="1" s="1"/>
  <c r="L33" i="1"/>
  <c r="L37" i="1"/>
  <c r="L41" i="1"/>
  <c r="L45" i="1"/>
  <c r="I10" i="4"/>
  <c r="I20" i="4"/>
  <c r="I34" i="4"/>
  <c r="F39" i="4"/>
  <c r="Z11" i="8"/>
  <c r="G18" i="1"/>
  <c r="L18" i="1" s="1"/>
  <c r="G29" i="1"/>
  <c r="I29" i="1" s="1"/>
  <c r="Z12" i="5"/>
  <c r="I16" i="4"/>
  <c r="I25" i="4"/>
  <c r="I37" i="4"/>
  <c r="D18" i="7"/>
  <c r="W13" i="8"/>
  <c r="Z12" i="8"/>
  <c r="D15" i="4"/>
  <c r="G12" i="1"/>
  <c r="I12" i="1" s="1"/>
  <c r="G15" i="1"/>
  <c r="L15" i="1" s="1"/>
  <c r="I23" i="4"/>
  <c r="F8" i="7"/>
  <c r="I28" i="7"/>
  <c r="I32" i="7"/>
  <c r="L16" i="1"/>
  <c r="I16" i="1"/>
  <c r="I28" i="1"/>
  <c r="I11" i="1"/>
  <c r="I13" i="1"/>
  <c r="I14" i="1"/>
  <c r="I17" i="1"/>
  <c r="I20" i="1"/>
  <c r="I21" i="1"/>
  <c r="I22" i="1"/>
  <c r="I23" i="1"/>
  <c r="I24" i="1"/>
  <c r="I25" i="1"/>
  <c r="I26" i="1"/>
  <c r="I27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D14" i="4"/>
  <c r="I18" i="4"/>
  <c r="F18" i="4"/>
  <c r="I26" i="4"/>
  <c r="F26" i="4"/>
  <c r="I31" i="4"/>
  <c r="F31" i="4"/>
  <c r="I13" i="4"/>
  <c r="F13" i="4"/>
  <c r="F10" i="4"/>
  <c r="I22" i="4"/>
  <c r="F22" i="4"/>
  <c r="I35" i="4"/>
  <c r="F35" i="4"/>
  <c r="I30" i="7"/>
  <c r="F30" i="7"/>
  <c r="Z8" i="8"/>
  <c r="I15" i="9" l="1"/>
  <c r="Z13" i="8"/>
  <c r="Z16" i="5"/>
  <c r="I15" i="1"/>
  <c r="I18" i="1"/>
  <c r="L12" i="1"/>
  <c r="I19" i="1"/>
  <c r="W16" i="5"/>
  <c r="F15" i="4"/>
  <c r="I15" i="4"/>
  <c r="G48" i="1"/>
  <c r="L29" i="1"/>
  <c r="L48" i="1" s="1"/>
  <c r="L49" i="1" s="1"/>
  <c r="F18" i="7"/>
  <c r="F38" i="7"/>
  <c r="I38" i="7"/>
  <c r="D41" i="4"/>
  <c r="I48" i="1"/>
  <c r="F14" i="4"/>
  <c r="I14" i="4"/>
  <c r="F41" i="4" l="1"/>
  <c r="I41" i="4"/>
</calcChain>
</file>

<file path=xl/sharedStrings.xml><?xml version="1.0" encoding="utf-8"?>
<sst xmlns="http://schemas.openxmlformats.org/spreadsheetml/2006/main" count="219" uniqueCount="129">
  <si>
    <t>ATHOS BULCÃO</t>
  </si>
  <si>
    <t>Período: 26/12/2023 a 25/01/2024.</t>
  </si>
  <si>
    <t>DATA</t>
  </si>
  <si>
    <t>QTD.</t>
  </si>
  <si>
    <t>PESO</t>
  </si>
  <si>
    <t>VALOR</t>
  </si>
  <si>
    <t>PREÇO ATUAL REAJUSTE/24</t>
  </si>
  <si>
    <t>TOTAL</t>
  </si>
  <si>
    <t xml:space="preserve">ROL </t>
  </si>
  <si>
    <t>UNIT.</t>
  </si>
  <si>
    <t>ITEM</t>
  </si>
  <si>
    <t>Lençol Solt.</t>
  </si>
  <si>
    <t>Lençol Casal</t>
  </si>
  <si>
    <t xml:space="preserve">Lençol Elástico Núpcias </t>
  </si>
  <si>
    <t xml:space="preserve">Lençol Elástico Núpcias Casal </t>
  </si>
  <si>
    <t>Toalha Banho</t>
  </si>
  <si>
    <t>Fronha</t>
  </si>
  <si>
    <t>Fronha Núpcias</t>
  </si>
  <si>
    <t>Toalha Rosto</t>
  </si>
  <si>
    <t>Piso</t>
  </si>
  <si>
    <t xml:space="preserve">Roupão </t>
  </si>
  <si>
    <t>Toalha de Mão</t>
  </si>
  <si>
    <t>Toalha de Mesa</t>
  </si>
  <si>
    <t>Toalha de Piscina</t>
  </si>
  <si>
    <t>Cobertor Sol.</t>
  </si>
  <si>
    <t>Cobertor Cas.</t>
  </si>
  <si>
    <t xml:space="preserve">Edredon Solteiro </t>
  </si>
  <si>
    <t xml:space="preserve">Edredon Casal </t>
  </si>
  <si>
    <t>Capa de Duvet Solt.</t>
  </si>
  <si>
    <t>Capa de Duvet Casal</t>
  </si>
  <si>
    <t>Prot. Travesseiro</t>
  </si>
  <si>
    <t>Porta Travesseiro Núpcias</t>
  </si>
  <si>
    <t>Saia Cama Sol</t>
  </si>
  <si>
    <t>Saia Cama Cas</t>
  </si>
  <si>
    <t>Lençol de Berço</t>
  </si>
  <si>
    <t>Fronha de Berço</t>
  </si>
  <si>
    <t>Colcha Sol.</t>
  </si>
  <si>
    <t>Colcha Casal</t>
  </si>
  <si>
    <t>Cobre Leito Núpcias</t>
  </si>
  <si>
    <t>Cobertor de Berço</t>
  </si>
  <si>
    <t>Prot. Col. Solt.</t>
  </si>
  <si>
    <t>Prot. Col. Casal</t>
  </si>
  <si>
    <t>Voal</t>
  </si>
  <si>
    <t>Peseira</t>
  </si>
  <si>
    <t>Tapete P</t>
  </si>
  <si>
    <t>Tapete G</t>
  </si>
  <si>
    <t>Cortina</t>
  </si>
  <si>
    <t>Total</t>
  </si>
  <si>
    <t>GERAL</t>
  </si>
  <si>
    <t>UNIFORME</t>
  </si>
  <si>
    <t>CNPJ: 05.217.384/0005-46</t>
  </si>
  <si>
    <t>QTD</t>
  </si>
  <si>
    <t>PREÇO</t>
  </si>
  <si>
    <t xml:space="preserve">TOTAL </t>
  </si>
  <si>
    <t>UNITÁRIO</t>
  </si>
  <si>
    <t>Lençol Casal "G"</t>
  </si>
  <si>
    <t>Capa de Duvet "G"</t>
  </si>
  <si>
    <t>Prot. Col. Cas.</t>
  </si>
  <si>
    <t>Saia Cama Solt.</t>
  </si>
  <si>
    <t>Saia Cama Cas.</t>
  </si>
  <si>
    <t>Toalha de mão</t>
  </si>
  <si>
    <t>Prot. De Berço</t>
  </si>
  <si>
    <t>Tapete</t>
  </si>
  <si>
    <t>Pano de Carrinho</t>
  </si>
  <si>
    <t>CNPJ: 05.217.384/0010-03</t>
  </si>
  <si>
    <t>PESO
 TOTAL</t>
  </si>
  <si>
    <t>Valor</t>
  </si>
  <si>
    <t>T.M. Prancha</t>
  </si>
  <si>
    <t>T.M. Pranchão</t>
  </si>
  <si>
    <t>T.M. Redonda</t>
  </si>
  <si>
    <t>JANEIRO 2024</t>
  </si>
  <si>
    <t>NUMERO DO ROL</t>
  </si>
  <si>
    <t>Lençol de Casal</t>
  </si>
  <si>
    <t>Toalha de banho</t>
  </si>
  <si>
    <t>Toalha de rosto</t>
  </si>
  <si>
    <t>Toalha de piso</t>
  </si>
  <si>
    <t>Xale (PESEIRA)</t>
  </si>
  <si>
    <t xml:space="preserve">Allan Leonardo </t>
  </si>
  <si>
    <t>Diretor</t>
  </si>
  <si>
    <t xml:space="preserve">FUSION EVENTOS </t>
  </si>
  <si>
    <t>ROL</t>
  </si>
  <si>
    <t>TOALHA DE MESA QUADRADA</t>
  </si>
  <si>
    <t>TOALHA REDONDA</t>
  </si>
  <si>
    <t>GUARDANAPO</t>
  </si>
  <si>
    <t>ANAPERON</t>
  </si>
  <si>
    <t>PANO COPA</t>
  </si>
  <si>
    <t>EXTRA</t>
  </si>
  <si>
    <t>JOGO AMERICANO/LUVA</t>
  </si>
  <si>
    <t>BABADOR</t>
  </si>
  <si>
    <t xml:space="preserve">BANDEIRA </t>
  </si>
  <si>
    <t>Período: 2ª Quinz. MAIO de 2022</t>
  </si>
  <si>
    <t>QUANT.</t>
  </si>
  <si>
    <t>PESO 
UNIT.</t>
  </si>
  <si>
    <t>PESO 
TOAL</t>
  </si>
  <si>
    <t>VALOR 
UNIT.</t>
  </si>
  <si>
    <t>TOALHA DE MESA</t>
  </si>
  <si>
    <t>JOGO AMERICANO</t>
  </si>
  <si>
    <t>BABADOR/LUVA</t>
  </si>
  <si>
    <t>Faturamento de Fusion Pay Per Use  - OUTUBRO de 2022</t>
  </si>
  <si>
    <t>FUSION PPU</t>
  </si>
  <si>
    <t>NUM ROL</t>
  </si>
  <si>
    <t>APT:</t>
  </si>
  <si>
    <t xml:space="preserve">LENÇOL </t>
  </si>
  <si>
    <t>T. BANHO</t>
  </si>
  <si>
    <t>FRONHA</t>
  </si>
  <si>
    <t>T. ROSTO</t>
  </si>
  <si>
    <t>PISO</t>
  </si>
  <si>
    <t>MANTA</t>
  </si>
  <si>
    <t xml:space="preserve">EDREDOM </t>
  </si>
  <si>
    <t>TOALHA PRATO</t>
  </si>
  <si>
    <t>C. DUVET</t>
  </si>
  <si>
    <t>M24</t>
  </si>
  <si>
    <t>Capa duvê</t>
  </si>
  <si>
    <t>Manta</t>
  </si>
  <si>
    <r>
      <t xml:space="preserve"> </t>
    </r>
    <r>
      <rPr>
        <b/>
        <sz val="11"/>
        <color theme="1"/>
        <rFont val="Calibri Light"/>
        <family val="2"/>
        <scheme val="major"/>
      </rPr>
      <t xml:space="preserve">TOTAL </t>
    </r>
  </si>
  <si>
    <t>TOT. ITENS</t>
  </si>
  <si>
    <t>VAL. UNIT</t>
  </si>
  <si>
    <t>VAL. TOTAL</t>
  </si>
  <si>
    <t>TOTAL GERAL</t>
  </si>
  <si>
    <t>IE</t>
  </si>
  <si>
    <t>07715289/001-57</t>
  </si>
  <si>
    <t>CNPJ</t>
  </si>
  <si>
    <t>22155122/0001-90</t>
  </si>
  <si>
    <t>NÃO TEM RETENÇÃO</t>
  </si>
  <si>
    <t>Período: JANEIRO de 2024</t>
  </si>
  <si>
    <t>PESO
 UNI</t>
  </si>
  <si>
    <t>CLUBE</t>
  </si>
  <si>
    <t xml:space="preserve">EVENTOS </t>
  </si>
  <si>
    <t>Imagem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</si>
</sst>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$&quot;\ * #,##0.00_-;\-&quot;R$&quot;\ * #,##0.00_-;_-&quot;R$&quot;\ * &quot;-&quot;??_-;_-@_-"/>
    <numFmt numFmtId="164" formatCode="_-[$R$-416]\ * #,##0.00_-;\-[$R$-416]\ * #,##0.00_-;_-[$R$-416]\ * &quot;-&quot;??_-;_-@"/>
    <numFmt numFmtId="165" formatCode="_([$R$ -416]* #,##0.00_);_([$R$ -416]* \(#,##0.00\);_([$R$ -416]* &quot;-&quot;??_);_(@_)"/>
    <numFmt numFmtId="166" formatCode="_-[$R$-416]\ * #,##0.00_-;\-[$R$-416]\ * #,##0.00_-;_-[$R$-416]\ * &quot;-&quot;??_-;_-@_-"/>
    <numFmt numFmtId="167" formatCode="_-&quot;R$&quot;\ * #,##0.00_-;\-&quot;R$&quot;\ * #,##0.00_-;_-&quot;R$&quot;\ * &quot;-&quot;??_-;_-@"/>
    <numFmt numFmtId="168" formatCode="d/m"/>
    <numFmt numFmtId="169" formatCode="d/m;@"/>
    <numFmt numFmtId="170" formatCode="0.000"/>
    <numFmt numFmtId="171" formatCode="_-&quot;R$&quot;\ * #,##0.000_-;\-&quot;R$&quot;\ * #,##0.000_-;_-&quot;R$&quot;\ * &quot;-&quot;???_-;_-@_-"/>
    <numFmt numFmtId="172" formatCode="_(&quot;R$ &quot;* #,##0.00_);_(&quot;R$ &quot;* \(#,##0.00\);_(&quot;R$ &quot;* &quot;-&quot;??_);_(@_)"/>
    <numFmt numFmtId="173" formatCode="&quot;R$&quot;\ #,##0.00"/>
  </numFmts>
  <fonts count="6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22"/>
      <color theme="1"/>
      <name val="Arial"/>
      <family val="2"/>
    </font>
    <font>
      <b/>
      <sz val="36"/>
      <color theme="1"/>
      <name val="Arial"/>
      <family val="2"/>
    </font>
    <font>
      <sz val="26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Comic Sans MS"/>
      <family val="4"/>
    </font>
    <font>
      <b/>
      <sz val="11"/>
      <color theme="1"/>
      <name val="Arial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6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8"/>
      <color theme="1"/>
      <name val="Arial"/>
      <family val="2"/>
    </font>
    <font>
      <b/>
      <sz val="16"/>
      <color theme="1"/>
      <name val="Arial"/>
      <family val="2"/>
    </font>
    <font>
      <sz val="11"/>
      <name val="Calibri"/>
      <family val="2"/>
      <scheme val="minor"/>
    </font>
    <font>
      <b/>
      <sz val="16"/>
      <color rgb="FFFFFF00"/>
      <name val="Calibri"/>
      <family val="2"/>
      <scheme val="minor"/>
    </font>
    <font>
      <sz val="11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3"/>
      <color theme="1"/>
      <name val="Arial"/>
      <family val="2"/>
    </font>
    <font>
      <b/>
      <sz val="11"/>
      <color theme="0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  <scheme val="minor"/>
    </font>
    <font>
      <sz val="26"/>
      <color theme="1"/>
      <name val="Arial Black"/>
      <family val="2"/>
    </font>
    <font>
      <sz val="12"/>
      <name val="Calibri"/>
      <family val="2"/>
    </font>
    <font>
      <b/>
      <i/>
      <sz val="11"/>
      <color theme="1"/>
      <name val="Arial"/>
      <family val="2"/>
    </font>
    <font>
      <b/>
      <sz val="14"/>
      <color theme="1"/>
      <name val="Arial"/>
      <family val="2"/>
    </font>
    <font>
      <sz val="16"/>
      <color rgb="FFFFFF00"/>
      <name val="Arial Black"/>
      <family val="2"/>
    </font>
    <font>
      <b/>
      <sz val="14"/>
      <color theme="1"/>
      <name val="Calibri"/>
      <family val="2"/>
      <scheme val="minor"/>
    </font>
    <font>
      <b/>
      <sz val="10"/>
      <color rgb="FF000099"/>
      <name val="Arial"/>
      <family val="2"/>
    </font>
    <font>
      <sz val="12"/>
      <color rgb="FF000000"/>
      <name val="Arial"/>
      <family val="2"/>
    </font>
    <font>
      <i/>
      <sz val="13"/>
      <color theme="1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6"/>
      <color theme="1"/>
      <name val="Calibri"/>
      <family val="2"/>
    </font>
    <font>
      <sz val="16"/>
      <color theme="1"/>
      <name val="Braggadocio"/>
    </font>
    <font>
      <b/>
      <u/>
      <sz val="10"/>
      <color theme="1"/>
      <name val="Arial"/>
      <family val="2"/>
    </font>
    <font>
      <sz val="15"/>
      <color theme="1"/>
      <name val="Arial"/>
      <family val="2"/>
    </font>
    <font>
      <sz val="8"/>
      <color theme="1"/>
      <name val="Arial"/>
      <family val="2"/>
    </font>
    <font>
      <u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Calibri Light"/>
      <family val="2"/>
      <scheme val="major"/>
    </font>
    <font>
      <b/>
      <sz val="12"/>
      <color rgb="FF000000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1"/>
      <color rgb="FF2A2A2A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2"/>
      <color rgb="FF000000"/>
      <name val="Arial"/>
      <family val="2"/>
    </font>
    <font>
      <b/>
      <i/>
      <sz val="10"/>
      <color theme="1"/>
      <name val="Arial"/>
      <family val="2"/>
    </font>
    <font>
      <b/>
      <i/>
      <sz val="8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6D9F0"/>
        <bgColor rgb="FFC6D9F0"/>
      </patternFill>
    </fill>
    <fill>
      <patternFill patternType="solid">
        <fgColor rgb="FF172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2" tint="-0.249977111117893"/>
        <bgColor rgb="FFFFFFFF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rgb="FFFFFFFF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2" tint="-0.14999847407452621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1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</cellStyleXfs>
  <cellXfs count="50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2" borderId="0" xfId="0" applyFont="1" applyFill="1"/>
    <xf numFmtId="3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3" fillId="2" borderId="1" xfId="0" applyFont="1" applyFill="1" applyBorder="1"/>
    <xf numFmtId="0" fontId="7" fillId="2" borderId="3" xfId="0" applyFont="1" applyFill="1" applyBorder="1" applyAlignment="1">
      <alignment vertical="center"/>
    </xf>
    <xf numFmtId="0" fontId="3" fillId="2" borderId="7" xfId="0" applyFont="1" applyFill="1" applyBorder="1"/>
    <xf numFmtId="0" fontId="7" fillId="2" borderId="0" xfId="0" applyFont="1" applyFill="1" applyAlignment="1">
      <alignment vertical="center"/>
    </xf>
    <xf numFmtId="0" fontId="9" fillId="2" borderId="7" xfId="0" applyFont="1" applyFill="1" applyBorder="1"/>
    <xf numFmtId="0" fontId="6" fillId="2" borderId="0" xfId="0" applyFont="1" applyFill="1" applyAlignment="1">
      <alignment vertical="center"/>
    </xf>
    <xf numFmtId="0" fontId="6" fillId="2" borderId="12" xfId="0" applyFont="1" applyFill="1" applyBorder="1" applyAlignment="1">
      <alignment vertical="center"/>
    </xf>
    <xf numFmtId="0" fontId="10" fillId="2" borderId="16" xfId="0" applyFont="1" applyFill="1" applyBorder="1"/>
    <xf numFmtId="0" fontId="11" fillId="2" borderId="0" xfId="0" applyFont="1" applyFill="1"/>
    <xf numFmtId="0" fontId="14" fillId="0" borderId="0" xfId="0" applyFont="1"/>
    <xf numFmtId="0" fontId="15" fillId="3" borderId="18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1" fontId="12" fillId="0" borderId="21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 wrapText="1"/>
    </xf>
    <xf numFmtId="0" fontId="16" fillId="3" borderId="21" xfId="0" applyFont="1" applyFill="1" applyBorder="1" applyAlignment="1">
      <alignment horizontal="center" vertical="center"/>
    </xf>
    <xf numFmtId="0" fontId="17" fillId="4" borderId="22" xfId="2" applyFont="1" applyFill="1" applyBorder="1" applyAlignment="1">
      <alignment horizontal="center" vertical="center" wrapText="1"/>
    </xf>
    <xf numFmtId="0" fontId="16" fillId="3" borderId="24" xfId="0" applyFont="1" applyFill="1" applyBorder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5" fillId="3" borderId="25" xfId="0" applyFont="1" applyFill="1" applyBorder="1" applyAlignment="1">
      <alignment horizontal="center" vertical="center"/>
    </xf>
    <xf numFmtId="0" fontId="19" fillId="3" borderId="29" xfId="0" applyFont="1" applyFill="1" applyBorder="1" applyAlignment="1">
      <alignment horizontal="center" vertical="center"/>
    </xf>
    <xf numFmtId="0" fontId="18" fillId="3" borderId="30" xfId="0" applyFont="1" applyFill="1" applyBorder="1" applyAlignment="1">
      <alignment horizontal="center" vertical="center"/>
    </xf>
    <xf numFmtId="0" fontId="20" fillId="3" borderId="27" xfId="0" applyFont="1" applyFill="1" applyBorder="1" applyAlignment="1">
      <alignment horizontal="center" vertical="center" wrapText="1"/>
    </xf>
    <xf numFmtId="0" fontId="20" fillId="3" borderId="27" xfId="0" applyFont="1" applyFill="1" applyBorder="1" applyAlignment="1">
      <alignment horizontal="center" vertical="center"/>
    </xf>
    <xf numFmtId="10" fontId="21" fillId="3" borderId="32" xfId="0" applyNumberFormat="1" applyFont="1" applyFill="1" applyBorder="1" applyAlignment="1">
      <alignment horizontal="center" vertical="center"/>
    </xf>
    <xf numFmtId="0" fontId="20" fillId="3" borderId="33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2" fillId="0" borderId="0" xfId="0" applyFont="1"/>
    <xf numFmtId="0" fontId="19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/>
    </xf>
    <xf numFmtId="0" fontId="1" fillId="0" borderId="0" xfId="0" applyFont="1"/>
    <xf numFmtId="0" fontId="12" fillId="0" borderId="0" xfId="0" applyFont="1" applyAlignment="1">
      <alignment horizontal="center" vertical="center"/>
    </xf>
    <xf numFmtId="0" fontId="24" fillId="2" borderId="34" xfId="0" applyFont="1" applyFill="1" applyBorder="1"/>
    <xf numFmtId="0" fontId="24" fillId="2" borderId="37" xfId="0" applyFont="1" applyFill="1" applyBorder="1" applyAlignment="1">
      <alignment horizontal="center"/>
    </xf>
    <xf numFmtId="0" fontId="25" fillId="0" borderId="37" xfId="0" applyFont="1" applyBorder="1" applyAlignment="1">
      <alignment horizontal="center"/>
    </xf>
    <xf numFmtId="0" fontId="26" fillId="0" borderId="37" xfId="0" applyFont="1" applyBorder="1" applyAlignment="1">
      <alignment horizontal="center"/>
    </xf>
    <xf numFmtId="0" fontId="27" fillId="5" borderId="38" xfId="0" applyFont="1" applyFill="1" applyBorder="1" applyAlignment="1">
      <alignment horizontal="center"/>
    </xf>
    <xf numFmtId="0" fontId="28" fillId="2" borderId="36" xfId="0" applyFont="1" applyFill="1" applyBorder="1" applyAlignment="1">
      <alignment horizontal="center"/>
    </xf>
    <xf numFmtId="0" fontId="29" fillId="2" borderId="39" xfId="0" applyFont="1" applyFill="1" applyBorder="1" applyAlignment="1">
      <alignment horizontal="center"/>
    </xf>
    <xf numFmtId="164" fontId="3" fillId="0" borderId="39" xfId="0" applyNumberFormat="1" applyFont="1" applyBorder="1"/>
    <xf numFmtId="164" fontId="3" fillId="0" borderId="40" xfId="0" applyNumberFormat="1" applyFont="1" applyBorder="1"/>
    <xf numFmtId="165" fontId="26" fillId="0" borderId="41" xfId="0" applyNumberFormat="1" applyFont="1" applyBorder="1"/>
    <xf numFmtId="0" fontId="25" fillId="0" borderId="0" xfId="0" applyFont="1" applyAlignment="1">
      <alignment horizontal="center"/>
    </xf>
    <xf numFmtId="0" fontId="24" fillId="0" borderId="0" xfId="0" applyFont="1"/>
    <xf numFmtId="164" fontId="3" fillId="0" borderId="0" xfId="0" applyNumberFormat="1" applyFont="1"/>
    <xf numFmtId="166" fontId="0" fillId="0" borderId="0" xfId="0" applyNumberFormat="1"/>
    <xf numFmtId="166" fontId="30" fillId="0" borderId="0" xfId="0" applyNumberFormat="1" applyFont="1"/>
    <xf numFmtId="0" fontId="24" fillId="2" borderId="42" xfId="0" applyFont="1" applyFill="1" applyBorder="1"/>
    <xf numFmtId="0" fontId="28" fillId="2" borderId="44" xfId="0" applyFont="1" applyFill="1" applyBorder="1" applyAlignment="1">
      <alignment horizontal="center"/>
    </xf>
    <xf numFmtId="0" fontId="29" fillId="2" borderId="45" xfId="0" applyFont="1" applyFill="1" applyBorder="1" applyAlignment="1">
      <alignment horizontal="center"/>
    </xf>
    <xf numFmtId="164" fontId="3" fillId="0" borderId="45" xfId="0" applyNumberFormat="1" applyFont="1" applyBorder="1"/>
    <xf numFmtId="0" fontId="24" fillId="0" borderId="42" xfId="0" applyFont="1" applyBorder="1"/>
    <xf numFmtId="0" fontId="24" fillId="0" borderId="42" xfId="0" applyFont="1" applyBorder="1" applyAlignment="1">
      <alignment horizontal="left"/>
    </xf>
    <xf numFmtId="0" fontId="25" fillId="6" borderId="37" xfId="0" applyFont="1" applyFill="1" applyBorder="1" applyAlignment="1">
      <alignment horizontal="center"/>
    </xf>
    <xf numFmtId="164" fontId="3" fillId="0" borderId="46" xfId="0" applyNumberFormat="1" applyFont="1" applyBorder="1"/>
    <xf numFmtId="164" fontId="3" fillId="0" borderId="47" xfId="0" applyNumberFormat="1" applyFont="1" applyBorder="1"/>
    <xf numFmtId="0" fontId="24" fillId="2" borderId="48" xfId="0" applyFont="1" applyFill="1" applyBorder="1"/>
    <xf numFmtId="0" fontId="26" fillId="2" borderId="37" xfId="0" applyFont="1" applyFill="1" applyBorder="1" applyAlignment="1">
      <alignment horizontal="center"/>
    </xf>
    <xf numFmtId="0" fontId="28" fillId="2" borderId="49" xfId="0" applyFont="1" applyFill="1" applyBorder="1" applyAlignment="1">
      <alignment horizontal="center"/>
    </xf>
    <xf numFmtId="0" fontId="29" fillId="2" borderId="50" xfId="0" applyFont="1" applyFill="1" applyBorder="1" applyAlignment="1">
      <alignment horizontal="center"/>
    </xf>
    <xf numFmtId="164" fontId="3" fillId="0" borderId="51" xfId="0" applyNumberFormat="1" applyFont="1" applyBorder="1"/>
    <xf numFmtId="0" fontId="29" fillId="2" borderId="44" xfId="0" applyFont="1" applyFill="1" applyBorder="1" applyAlignment="1">
      <alignment horizontal="center"/>
    </xf>
    <xf numFmtId="164" fontId="31" fillId="0" borderId="47" xfId="0" applyNumberFormat="1" applyFont="1" applyBorder="1"/>
    <xf numFmtId="164" fontId="31" fillId="0" borderId="0" xfId="0" applyNumberFormat="1" applyFont="1"/>
    <xf numFmtId="0" fontId="27" fillId="0" borderId="38" xfId="0" applyFont="1" applyBorder="1" applyAlignment="1">
      <alignment horizontal="center"/>
    </xf>
    <xf numFmtId="0" fontId="29" fillId="2" borderId="49" xfId="0" applyFont="1" applyFill="1" applyBorder="1" applyAlignment="1">
      <alignment horizontal="center"/>
    </xf>
    <xf numFmtId="164" fontId="3" fillId="0" borderId="50" xfId="0" applyNumberFormat="1" applyFont="1" applyBorder="1"/>
    <xf numFmtId="165" fontId="26" fillId="0" borderId="52" xfId="0" applyNumberFormat="1" applyFont="1" applyBorder="1"/>
    <xf numFmtId="0" fontId="15" fillId="2" borderId="37" xfId="0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1" fontId="12" fillId="2" borderId="55" xfId="0" applyNumberFormat="1" applyFont="1" applyFill="1" applyBorder="1" applyAlignment="1">
      <alignment horizontal="center" vertical="center"/>
    </xf>
    <xf numFmtId="0" fontId="26" fillId="2" borderId="56" xfId="0" applyFont="1" applyFill="1" applyBorder="1" applyAlignment="1">
      <alignment vertical="center"/>
    </xf>
    <xf numFmtId="2" fontId="16" fillId="2" borderId="57" xfId="0" applyNumberFormat="1" applyFont="1" applyFill="1" applyBorder="1" applyAlignment="1">
      <alignment horizontal="center" vertical="center"/>
    </xf>
    <xf numFmtId="165" fontId="32" fillId="3" borderId="58" xfId="0" applyNumberFormat="1" applyFont="1" applyFill="1" applyBorder="1" applyAlignment="1">
      <alignment vertical="center"/>
    </xf>
    <xf numFmtId="165" fontId="32" fillId="3" borderId="59" xfId="0" applyNumberFormat="1" applyFont="1" applyFill="1" applyBorder="1" applyAlignment="1">
      <alignment vertical="center"/>
    </xf>
    <xf numFmtId="165" fontId="10" fillId="3" borderId="60" xfId="0" applyNumberFormat="1" applyFont="1" applyFill="1" applyBorder="1" applyAlignment="1">
      <alignment vertical="center"/>
    </xf>
    <xf numFmtId="3" fontId="33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2" fontId="16" fillId="0" borderId="0" xfId="0" applyNumberFormat="1" applyFont="1" applyAlignment="1">
      <alignment horizontal="center" vertical="center"/>
    </xf>
    <xf numFmtId="0" fontId="18" fillId="7" borderId="27" xfId="0" applyFont="1" applyFill="1" applyBorder="1" applyAlignment="1">
      <alignment horizontal="center" vertical="center"/>
    </xf>
    <xf numFmtId="0" fontId="18" fillId="7" borderId="12" xfId="0" applyFont="1" applyFill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5" fontId="32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/>
    </xf>
    <xf numFmtId="0" fontId="34" fillId="0" borderId="0" xfId="0" applyFont="1"/>
    <xf numFmtId="14" fontId="34" fillId="0" borderId="0" xfId="0" applyNumberFormat="1" applyFont="1" applyAlignment="1">
      <alignment horizontal="center"/>
    </xf>
    <xf numFmtId="0" fontId="11" fillId="2" borderId="59" xfId="0" applyFont="1" applyFill="1" applyBorder="1"/>
    <xf numFmtId="0" fontId="9" fillId="2" borderId="75" xfId="0" applyFont="1" applyFill="1" applyBorder="1"/>
    <xf numFmtId="10" fontId="21" fillId="3" borderId="30" xfId="0" applyNumberFormat="1" applyFont="1" applyFill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3" fillId="0" borderId="0" xfId="3" applyFont="1" applyAlignment="1">
      <alignment vertical="center"/>
    </xf>
    <xf numFmtId="44" fontId="1" fillId="0" borderId="0" xfId="1" applyFont="1" applyFill="1" applyBorder="1" applyAlignment="1">
      <alignment vertical="center"/>
    </xf>
    <xf numFmtId="0" fontId="1" fillId="0" borderId="0" xfId="3" applyAlignment="1">
      <alignment vertical="center"/>
    </xf>
    <xf numFmtId="0" fontId="12" fillId="2" borderId="16" xfId="3" applyFont="1" applyFill="1" applyBorder="1" applyAlignment="1">
      <alignment vertical="center"/>
    </xf>
    <xf numFmtId="0" fontId="11" fillId="2" borderId="59" xfId="3" applyFont="1" applyFill="1" applyBorder="1" applyAlignment="1">
      <alignment vertical="center"/>
    </xf>
    <xf numFmtId="0" fontId="37" fillId="0" borderId="0" xfId="0" applyFont="1" applyAlignment="1">
      <alignment horizontal="center"/>
    </xf>
    <xf numFmtId="44" fontId="1" fillId="0" borderId="0" xfId="1" applyFont="1" applyBorder="1" applyAlignment="1">
      <alignment vertical="center"/>
    </xf>
    <xf numFmtId="0" fontId="15" fillId="8" borderId="35" xfId="3" applyFont="1" applyFill="1" applyBorder="1" applyAlignment="1">
      <alignment horizontal="center" vertical="center"/>
    </xf>
    <xf numFmtId="16" fontId="30" fillId="0" borderId="35" xfId="3" applyNumberFormat="1" applyFont="1" applyBorder="1" applyAlignment="1">
      <alignment horizontal="center" vertical="center"/>
    </xf>
    <xf numFmtId="0" fontId="38" fillId="8" borderId="35" xfId="3" applyFont="1" applyFill="1" applyBorder="1" applyAlignment="1">
      <alignment horizontal="center" vertical="center" wrapText="1"/>
    </xf>
    <xf numFmtId="0" fontId="38" fillId="8" borderId="35" xfId="3" applyFont="1" applyFill="1" applyBorder="1" applyAlignment="1">
      <alignment horizontal="center" vertical="center"/>
    </xf>
    <xf numFmtId="0" fontId="38" fillId="8" borderId="37" xfId="3" applyFont="1" applyFill="1" applyBorder="1" applyAlignment="1">
      <alignment horizontal="center" vertical="center"/>
    </xf>
    <xf numFmtId="0" fontId="38" fillId="0" borderId="0" xfId="3" applyFont="1" applyAlignment="1">
      <alignment horizontal="center" vertical="center"/>
    </xf>
    <xf numFmtId="0" fontId="36" fillId="0" borderId="0" xfId="3" applyFont="1" applyAlignment="1">
      <alignment vertical="center"/>
    </xf>
    <xf numFmtId="44" fontId="38" fillId="0" borderId="0" xfId="1" applyFont="1" applyFill="1" applyBorder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39" fillId="8" borderId="37" xfId="3" applyFont="1" applyFill="1" applyBorder="1" applyAlignment="1">
      <alignment horizontal="center" vertical="center"/>
    </xf>
    <xf numFmtId="0" fontId="16" fillId="8" borderId="37" xfId="3" applyFont="1" applyFill="1" applyBorder="1" applyAlignment="1">
      <alignment horizontal="center" vertical="center"/>
    </xf>
    <xf numFmtId="0" fontId="38" fillId="8" borderId="37" xfId="3" applyFont="1" applyFill="1" applyBorder="1" applyAlignment="1">
      <alignment horizontal="center" vertical="center" wrapText="1"/>
    </xf>
    <xf numFmtId="0" fontId="38" fillId="5" borderId="37" xfId="3" applyFont="1" applyFill="1" applyBorder="1" applyAlignment="1">
      <alignment horizontal="center" vertical="center"/>
    </xf>
    <xf numFmtId="0" fontId="39" fillId="0" borderId="0" xfId="3" applyFont="1" applyAlignment="1">
      <alignment horizontal="center" vertical="center"/>
    </xf>
    <xf numFmtId="9" fontId="40" fillId="0" borderId="0" xfId="3" applyNumberFormat="1" applyFont="1" applyAlignment="1">
      <alignment horizontal="center" vertical="center"/>
    </xf>
    <xf numFmtId="0" fontId="41" fillId="0" borderId="0" xfId="3" applyFont="1" applyAlignment="1">
      <alignment horizontal="center" vertical="center"/>
    </xf>
    <xf numFmtId="0" fontId="35" fillId="0" borderId="0" xfId="3" applyFont="1" applyAlignment="1">
      <alignment vertical="center"/>
    </xf>
    <xf numFmtId="0" fontId="24" fillId="2" borderId="37" xfId="3" applyFont="1" applyFill="1" applyBorder="1" applyAlignment="1">
      <alignment vertical="center"/>
    </xf>
    <xf numFmtId="0" fontId="26" fillId="0" borderId="37" xfId="3" applyFont="1" applyBorder="1" applyAlignment="1">
      <alignment horizontal="center" vertical="center"/>
    </xf>
    <xf numFmtId="0" fontId="26" fillId="2" borderId="37" xfId="3" applyFont="1" applyFill="1" applyBorder="1" applyAlignment="1">
      <alignment horizontal="center" vertical="center"/>
    </xf>
    <xf numFmtId="0" fontId="27" fillId="5" borderId="37" xfId="3" applyFont="1" applyFill="1" applyBorder="1" applyAlignment="1">
      <alignment horizontal="center" vertical="center"/>
    </xf>
    <xf numFmtId="0" fontId="42" fillId="2" borderId="37" xfId="3" applyFont="1" applyFill="1" applyBorder="1" applyAlignment="1">
      <alignment horizontal="center" vertical="center"/>
    </xf>
    <xf numFmtId="0" fontId="29" fillId="2" borderId="37" xfId="3" applyFont="1" applyFill="1" applyBorder="1" applyAlignment="1">
      <alignment horizontal="center" vertical="center"/>
    </xf>
    <xf numFmtId="44" fontId="26" fillId="0" borderId="37" xfId="1" applyFont="1" applyFill="1" applyBorder="1" applyAlignment="1">
      <alignment vertical="center"/>
    </xf>
    <xf numFmtId="44" fontId="26" fillId="9" borderId="37" xfId="1" applyFont="1" applyFill="1" applyBorder="1" applyAlignment="1">
      <alignment vertical="center"/>
    </xf>
    <xf numFmtId="165" fontId="26" fillId="0" borderId="37" xfId="3" applyNumberFormat="1" applyFont="1" applyBorder="1" applyAlignment="1">
      <alignment vertical="center"/>
    </xf>
    <xf numFmtId="165" fontId="26" fillId="0" borderId="0" xfId="3" applyNumberFormat="1" applyFont="1" applyAlignment="1">
      <alignment vertical="center"/>
    </xf>
    <xf numFmtId="0" fontId="12" fillId="0" borderId="0" xfId="3" applyFont="1" applyAlignment="1">
      <alignment vertical="center"/>
    </xf>
    <xf numFmtId="44" fontId="10" fillId="0" borderId="0" xfId="1" applyFont="1" applyFill="1" applyBorder="1" applyAlignment="1">
      <alignment vertical="center"/>
    </xf>
    <xf numFmtId="44" fontId="2" fillId="0" borderId="0" xfId="3" applyNumberFormat="1" applyFont="1" applyAlignment="1">
      <alignment vertical="center"/>
    </xf>
    <xf numFmtId="0" fontId="24" fillId="0" borderId="37" xfId="3" applyFont="1" applyBorder="1" applyAlignment="1">
      <alignment vertical="center"/>
    </xf>
    <xf numFmtId="165" fontId="26" fillId="10" borderId="0" xfId="3" applyNumberFormat="1" applyFont="1" applyFill="1" applyAlignment="1">
      <alignment vertical="center"/>
    </xf>
    <xf numFmtId="0" fontId="24" fillId="2" borderId="0" xfId="3" applyFont="1" applyFill="1" applyAlignment="1">
      <alignment vertical="center"/>
    </xf>
    <xf numFmtId="44" fontId="26" fillId="2" borderId="0" xfId="1" applyFont="1" applyFill="1" applyBorder="1" applyAlignment="1">
      <alignment vertical="center"/>
    </xf>
    <xf numFmtId="44" fontId="1" fillId="0" borderId="0" xfId="3" applyNumberFormat="1" applyAlignment="1">
      <alignment vertical="center"/>
    </xf>
    <xf numFmtId="0" fontId="15" fillId="8" borderId="37" xfId="3" applyFont="1" applyFill="1" applyBorder="1" applyAlignment="1">
      <alignment horizontal="center" vertical="center"/>
    </xf>
    <xf numFmtId="0" fontId="26" fillId="2" borderId="37" xfId="3" applyFont="1" applyFill="1" applyBorder="1" applyAlignment="1">
      <alignment vertical="center"/>
    </xf>
    <xf numFmtId="0" fontId="10" fillId="0" borderId="37" xfId="3" applyFont="1" applyBorder="1" applyAlignment="1">
      <alignment horizontal="center" vertical="center"/>
    </xf>
    <xf numFmtId="0" fontId="15" fillId="2" borderId="37" xfId="3" applyFont="1" applyFill="1" applyBorder="1" applyAlignment="1">
      <alignment vertical="center"/>
    </xf>
    <xf numFmtId="2" fontId="16" fillId="2" borderId="37" xfId="3" applyNumberFormat="1" applyFont="1" applyFill="1" applyBorder="1" applyAlignment="1">
      <alignment horizontal="center" vertical="center"/>
    </xf>
    <xf numFmtId="2" fontId="26" fillId="2" borderId="37" xfId="3" applyNumberFormat="1" applyFont="1" applyFill="1" applyBorder="1" applyAlignment="1">
      <alignment vertical="center"/>
    </xf>
    <xf numFmtId="165" fontId="32" fillId="9" borderId="37" xfId="3" applyNumberFormat="1" applyFont="1" applyFill="1" applyBorder="1" applyAlignment="1">
      <alignment vertical="center"/>
    </xf>
    <xf numFmtId="165" fontId="32" fillId="0" borderId="0" xfId="3" applyNumberFormat="1" applyFont="1" applyAlignment="1">
      <alignment vertical="center"/>
    </xf>
    <xf numFmtId="0" fontId="3" fillId="2" borderId="0" xfId="3" applyFont="1" applyFill="1" applyAlignment="1">
      <alignment vertical="center"/>
    </xf>
    <xf numFmtId="0" fontId="8" fillId="2" borderId="1" xfId="4" applyFont="1" applyFill="1" applyBorder="1" applyAlignment="1">
      <alignment vertical="center"/>
    </xf>
    <xf numFmtId="0" fontId="8" fillId="2" borderId="2" xfId="4" applyFont="1" applyFill="1" applyBorder="1" applyAlignment="1">
      <alignment vertical="center"/>
    </xf>
    <xf numFmtId="0" fontId="8" fillId="2" borderId="3" xfId="4" applyFont="1" applyFill="1" applyBorder="1" applyAlignment="1">
      <alignment vertical="center"/>
    </xf>
    <xf numFmtId="0" fontId="8" fillId="2" borderId="4" xfId="4" applyFont="1" applyFill="1" applyBorder="1" applyAlignment="1">
      <alignment vertical="center"/>
    </xf>
    <xf numFmtId="0" fontId="3" fillId="0" borderId="0" xfId="4" applyFont="1"/>
    <xf numFmtId="0" fontId="1" fillId="0" borderId="0" xfId="4"/>
    <xf numFmtId="0" fontId="8" fillId="2" borderId="7" xfId="4" applyFont="1" applyFill="1" applyBorder="1" applyAlignment="1">
      <alignment vertical="center"/>
    </xf>
    <xf numFmtId="0" fontId="8" fillId="2" borderId="8" xfId="4" applyFont="1" applyFill="1" applyBorder="1" applyAlignment="1">
      <alignment vertical="center"/>
    </xf>
    <xf numFmtId="0" fontId="8" fillId="2" borderId="0" xfId="4" applyFont="1" applyFill="1" applyAlignment="1">
      <alignment vertical="center"/>
    </xf>
    <xf numFmtId="0" fontId="8" fillId="2" borderId="9" xfId="4" applyFont="1" applyFill="1" applyBorder="1" applyAlignment="1">
      <alignment vertical="center"/>
    </xf>
    <xf numFmtId="0" fontId="8" fillId="2" borderId="75" xfId="4" applyFont="1" applyFill="1" applyBorder="1" applyAlignment="1">
      <alignment vertical="center"/>
    </xf>
    <xf numFmtId="0" fontId="8" fillId="2" borderId="11" xfId="4" applyFont="1" applyFill="1" applyBorder="1" applyAlignment="1">
      <alignment vertical="center"/>
    </xf>
    <xf numFmtId="0" fontId="8" fillId="2" borderId="12" xfId="4" applyFont="1" applyFill="1" applyBorder="1" applyAlignment="1">
      <alignment vertical="center"/>
    </xf>
    <xf numFmtId="0" fontId="8" fillId="2" borderId="13" xfId="4" applyFont="1" applyFill="1" applyBorder="1" applyAlignment="1">
      <alignment vertical="center"/>
    </xf>
    <xf numFmtId="0" fontId="9" fillId="2" borderId="75" xfId="4" applyFont="1" applyFill="1" applyBorder="1"/>
    <xf numFmtId="0" fontId="9" fillId="2" borderId="14" xfId="4" applyFont="1" applyFill="1" applyBorder="1" applyAlignment="1">
      <alignment horizontal="center"/>
    </xf>
    <xf numFmtId="0" fontId="11" fillId="2" borderId="14" xfId="4" applyFont="1" applyFill="1" applyBorder="1"/>
    <xf numFmtId="0" fontId="29" fillId="2" borderId="14" xfId="4" applyFont="1" applyFill="1" applyBorder="1"/>
    <xf numFmtId="0" fontId="9" fillId="2" borderId="0" xfId="4" applyFont="1" applyFill="1"/>
    <xf numFmtId="0" fontId="9" fillId="2" borderId="0" xfId="4" applyFont="1" applyFill="1" applyAlignment="1">
      <alignment horizontal="center"/>
    </xf>
    <xf numFmtId="0" fontId="11" fillId="2" borderId="0" xfId="4" applyFont="1" applyFill="1"/>
    <xf numFmtId="0" fontId="29" fillId="2" borderId="0" xfId="4" applyFont="1" applyFill="1"/>
    <xf numFmtId="0" fontId="39" fillId="2" borderId="0" xfId="0" applyFont="1" applyFill="1" applyAlignment="1">
      <alignment vertical="center"/>
    </xf>
    <xf numFmtId="0" fontId="15" fillId="11" borderId="37" xfId="4" applyFont="1" applyFill="1" applyBorder="1" applyAlignment="1">
      <alignment horizontal="center" vertical="center"/>
    </xf>
    <xf numFmtId="16" fontId="12" fillId="0" borderId="37" xfId="4" applyNumberFormat="1" applyFont="1" applyBorder="1" applyAlignment="1">
      <alignment horizontal="center" vertical="center"/>
    </xf>
    <xf numFmtId="0" fontId="12" fillId="0" borderId="37" xfId="4" applyFont="1" applyBorder="1" applyAlignment="1">
      <alignment horizontal="center" vertical="center"/>
    </xf>
    <xf numFmtId="169" fontId="12" fillId="0" borderId="37" xfId="4" applyNumberFormat="1" applyFont="1" applyBorder="1" applyAlignment="1">
      <alignment horizontal="center" vertical="center"/>
    </xf>
    <xf numFmtId="0" fontId="12" fillId="11" borderId="35" xfId="4" applyFont="1" applyFill="1" applyBorder="1" applyAlignment="1">
      <alignment horizontal="center" vertical="center"/>
    </xf>
    <xf numFmtId="0" fontId="12" fillId="11" borderId="35" xfId="4" applyFont="1" applyFill="1" applyBorder="1" applyAlignment="1">
      <alignment horizontal="center" vertical="center" wrapText="1"/>
    </xf>
    <xf numFmtId="0" fontId="38" fillId="11" borderId="35" xfId="4" applyFont="1" applyFill="1" applyBorder="1" applyAlignment="1">
      <alignment horizontal="center" vertical="center"/>
    </xf>
    <xf numFmtId="0" fontId="10" fillId="11" borderId="37" xfId="4" applyFont="1" applyFill="1" applyBorder="1" applyAlignment="1">
      <alignment horizontal="center" vertical="center"/>
    </xf>
    <xf numFmtId="0" fontId="12" fillId="11" borderId="37" xfId="4" applyFont="1" applyFill="1" applyBorder="1" applyAlignment="1">
      <alignment horizontal="center" vertical="center"/>
    </xf>
    <xf numFmtId="0" fontId="12" fillId="12" borderId="37" xfId="3" applyFont="1" applyFill="1" applyBorder="1" applyAlignment="1">
      <alignment horizontal="center" vertical="center"/>
    </xf>
    <xf numFmtId="0" fontId="12" fillId="11" borderId="37" xfId="3" applyFont="1" applyFill="1" applyBorder="1" applyAlignment="1">
      <alignment horizontal="center" vertical="center"/>
    </xf>
    <xf numFmtId="0" fontId="10" fillId="13" borderId="37" xfId="4" applyFont="1" applyFill="1" applyBorder="1" applyAlignment="1">
      <alignment horizontal="center" vertical="center"/>
    </xf>
    <xf numFmtId="0" fontId="14" fillId="13" borderId="37" xfId="4" applyFont="1" applyFill="1" applyBorder="1" applyAlignment="1">
      <alignment horizontal="center" vertical="center"/>
    </xf>
    <xf numFmtId="0" fontId="12" fillId="11" borderId="37" xfId="4" applyFont="1" applyFill="1" applyBorder="1" applyAlignment="1">
      <alignment horizontal="center" vertical="center" wrapText="1"/>
    </xf>
    <xf numFmtId="0" fontId="24" fillId="2" borderId="37" xfId="4" applyFont="1" applyFill="1" applyBorder="1"/>
    <xf numFmtId="0" fontId="24" fillId="0" borderId="37" xfId="4" applyFont="1" applyBorder="1" applyAlignment="1">
      <alignment horizontal="center"/>
    </xf>
    <xf numFmtId="0" fontId="43" fillId="0" borderId="37" xfId="4" applyFont="1" applyBorder="1" applyAlignment="1">
      <alignment horizontal="center"/>
    </xf>
    <xf numFmtId="0" fontId="12" fillId="12" borderId="37" xfId="4" applyFont="1" applyFill="1" applyBorder="1" applyAlignment="1">
      <alignment horizontal="center"/>
    </xf>
    <xf numFmtId="0" fontId="29" fillId="2" borderId="37" xfId="4" applyFont="1" applyFill="1" applyBorder="1" applyAlignment="1">
      <alignment horizontal="center"/>
    </xf>
    <xf numFmtId="164" fontId="10" fillId="14" borderId="37" xfId="4" applyNumberFormat="1" applyFont="1" applyFill="1" applyBorder="1"/>
    <xf numFmtId="165" fontId="26" fillId="10" borderId="37" xfId="4" applyNumberFormat="1" applyFont="1" applyFill="1" applyBorder="1"/>
    <xf numFmtId="0" fontId="24" fillId="2" borderId="37" xfId="4" applyFont="1" applyFill="1" applyBorder="1" applyAlignment="1">
      <alignment horizontal="center"/>
    </xf>
    <xf numFmtId="0" fontId="43" fillId="2" borderId="37" xfId="4" applyFont="1" applyFill="1" applyBorder="1" applyAlignment="1">
      <alignment horizontal="center"/>
    </xf>
    <xf numFmtId="0" fontId="15" fillId="15" borderId="37" xfId="4" applyFont="1" applyFill="1" applyBorder="1"/>
    <xf numFmtId="0" fontId="15" fillId="2" borderId="37" xfId="4" applyFont="1" applyFill="1" applyBorder="1" applyAlignment="1">
      <alignment horizontal="center"/>
    </xf>
    <xf numFmtId="0" fontId="39" fillId="12" borderId="37" xfId="4" applyFont="1" applyFill="1" applyBorder="1" applyAlignment="1">
      <alignment horizontal="center"/>
    </xf>
    <xf numFmtId="0" fontId="30" fillId="0" borderId="37" xfId="4" applyFont="1" applyBorder="1"/>
    <xf numFmtId="170" fontId="10" fillId="2" borderId="37" xfId="4" applyNumberFormat="1" applyFont="1" applyFill="1" applyBorder="1"/>
    <xf numFmtId="2" fontId="10" fillId="2" borderId="37" xfId="4" applyNumberFormat="1" applyFont="1" applyFill="1" applyBorder="1" applyAlignment="1">
      <alignment horizontal="center"/>
    </xf>
    <xf numFmtId="165" fontId="10" fillId="15" borderId="37" xfId="4" applyNumberFormat="1" applyFont="1" applyFill="1" applyBorder="1"/>
    <xf numFmtId="0" fontId="3" fillId="0" borderId="0" xfId="4" applyFont="1" applyAlignment="1">
      <alignment horizontal="center"/>
    </xf>
    <xf numFmtId="0" fontId="3" fillId="2" borderId="0" xfId="4" applyFont="1" applyFill="1"/>
    <xf numFmtId="171" fontId="1" fillId="0" borderId="0" xfId="4" applyNumberFormat="1"/>
    <xf numFmtId="0" fontId="13" fillId="0" borderId="0" xfId="0" applyFont="1"/>
    <xf numFmtId="0" fontId="12" fillId="2" borderId="0" xfId="0" applyFont="1" applyFill="1"/>
    <xf numFmtId="0" fontId="29" fillId="2" borderId="0" xfId="0" applyFont="1" applyFill="1"/>
    <xf numFmtId="0" fontId="24" fillId="2" borderId="39" xfId="0" applyFont="1" applyFill="1" applyBorder="1" applyAlignment="1">
      <alignment horizontal="center"/>
    </xf>
    <xf numFmtId="9" fontId="3" fillId="0" borderId="0" xfId="0" applyNumberFormat="1" applyFont="1"/>
    <xf numFmtId="0" fontId="24" fillId="2" borderId="45" xfId="0" applyFont="1" applyFill="1" applyBorder="1" applyAlignment="1">
      <alignment horizontal="center"/>
    </xf>
    <xf numFmtId="0" fontId="10" fillId="0" borderId="53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3" fillId="0" borderId="6" xfId="0" applyFont="1" applyBorder="1"/>
    <xf numFmtId="0" fontId="13" fillId="0" borderId="10" xfId="0" applyFont="1" applyBorder="1"/>
    <xf numFmtId="0" fontId="13" fillId="0" borderId="15" xfId="0" applyFont="1" applyBorder="1"/>
    <xf numFmtId="0" fontId="12" fillId="2" borderId="0" xfId="0" applyFont="1" applyFill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12" fillId="17" borderId="37" xfId="0" applyFont="1" applyFill="1" applyBorder="1" applyAlignment="1">
      <alignment horizontal="center" vertical="center"/>
    </xf>
    <xf numFmtId="169" fontId="12" fillId="17" borderId="37" xfId="0" applyNumberFormat="1" applyFont="1" applyFill="1" applyBorder="1" applyAlignment="1">
      <alignment horizontal="center" vertical="center"/>
    </xf>
    <xf numFmtId="0" fontId="12" fillId="17" borderId="37" xfId="0" applyFont="1" applyFill="1" applyBorder="1" applyAlignment="1">
      <alignment horizontal="center" vertical="center" wrapText="1"/>
    </xf>
    <xf numFmtId="0" fontId="29" fillId="2" borderId="37" xfId="0" applyFont="1" applyFill="1" applyBorder="1"/>
    <xf numFmtId="1" fontId="12" fillId="17" borderId="37" xfId="0" applyNumberFormat="1" applyFont="1" applyFill="1" applyBorder="1" applyAlignment="1">
      <alignment horizontal="center"/>
    </xf>
    <xf numFmtId="170" fontId="29" fillId="2" borderId="37" xfId="0" applyNumberFormat="1" applyFont="1" applyFill="1" applyBorder="1" applyAlignment="1">
      <alignment horizontal="center"/>
    </xf>
    <xf numFmtId="2" fontId="29" fillId="2" borderId="37" xfId="0" applyNumberFormat="1" applyFont="1" applyFill="1" applyBorder="1" applyAlignment="1">
      <alignment horizontal="center"/>
    </xf>
    <xf numFmtId="172" fontId="29" fillId="2" borderId="37" xfId="0" applyNumberFormat="1" applyFont="1" applyFill="1" applyBorder="1"/>
    <xf numFmtId="165" fontId="29" fillId="2" borderId="37" xfId="0" applyNumberFormat="1" applyFont="1" applyFill="1" applyBorder="1"/>
    <xf numFmtId="1" fontId="29" fillId="2" borderId="37" xfId="0" applyNumberFormat="1" applyFont="1" applyFill="1" applyBorder="1" applyAlignment="1">
      <alignment horizontal="center"/>
    </xf>
    <xf numFmtId="0" fontId="29" fillId="2" borderId="0" xfId="0" applyFont="1" applyFill="1" applyAlignment="1">
      <alignment vertical="center"/>
    </xf>
    <xf numFmtId="0" fontId="13" fillId="0" borderId="79" xfId="0" applyFont="1" applyBorder="1"/>
    <xf numFmtId="1" fontId="4" fillId="18" borderId="35" xfId="0" applyNumberFormat="1" applyFont="1" applyFill="1" applyBorder="1" applyAlignment="1">
      <alignment horizontal="center"/>
    </xf>
    <xf numFmtId="0" fontId="4" fillId="18" borderId="35" xfId="0" applyFont="1" applyFill="1" applyBorder="1" applyAlignment="1">
      <alignment horizontal="center"/>
    </xf>
    <xf numFmtId="2" fontId="16" fillId="17" borderId="35" xfId="0" applyNumberFormat="1" applyFont="1" applyFill="1" applyBorder="1" applyAlignment="1">
      <alignment horizontal="center"/>
    </xf>
    <xf numFmtId="4" fontId="50" fillId="17" borderId="35" xfId="0" applyNumberFormat="1" applyFont="1" applyFill="1" applyBorder="1" applyAlignment="1">
      <alignment horizontal="center"/>
    </xf>
    <xf numFmtId="165" fontId="16" fillId="17" borderId="35" xfId="0" applyNumberFormat="1" applyFont="1" applyFill="1" applyBorder="1"/>
    <xf numFmtId="0" fontId="13" fillId="0" borderId="90" xfId="0" applyFont="1" applyBorder="1"/>
    <xf numFmtId="0" fontId="51" fillId="2" borderId="91" xfId="0" applyFont="1" applyFill="1" applyBorder="1" applyAlignment="1">
      <alignment horizontal="center" vertical="center"/>
    </xf>
    <xf numFmtId="0" fontId="12" fillId="2" borderId="92" xfId="0" applyFont="1" applyFill="1" applyBorder="1" applyAlignment="1">
      <alignment horizontal="center" vertical="center"/>
    </xf>
    <xf numFmtId="0" fontId="16" fillId="2" borderId="92" xfId="0" applyFont="1" applyFill="1" applyBorder="1" applyAlignment="1">
      <alignment horizontal="center" vertical="center"/>
    </xf>
    <xf numFmtId="0" fontId="16" fillId="2" borderId="92" xfId="0" applyFont="1" applyFill="1" applyBorder="1" applyAlignment="1">
      <alignment horizontal="center" vertical="center" wrapText="1"/>
    </xf>
    <xf numFmtId="0" fontId="16" fillId="2" borderId="62" xfId="0" applyFont="1" applyFill="1" applyBorder="1" applyAlignment="1">
      <alignment horizontal="center" vertical="center" wrapText="1"/>
    </xf>
    <xf numFmtId="0" fontId="16" fillId="2" borderId="93" xfId="0" applyFont="1" applyFill="1" applyBorder="1" applyAlignment="1">
      <alignment horizontal="center" vertical="center"/>
    </xf>
    <xf numFmtId="0" fontId="16" fillId="2" borderId="94" xfId="0" applyFont="1" applyFill="1" applyBorder="1" applyAlignment="1">
      <alignment horizontal="center" vertical="center"/>
    </xf>
    <xf numFmtId="0" fontId="52" fillId="2" borderId="95" xfId="0" applyFont="1" applyFill="1" applyBorder="1" applyAlignment="1">
      <alignment horizontal="center" vertical="center"/>
    </xf>
    <xf numFmtId="0" fontId="16" fillId="2" borderId="95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/>
    </xf>
    <xf numFmtId="0" fontId="29" fillId="2" borderId="96" xfId="0" applyFont="1" applyFill="1" applyBorder="1"/>
    <xf numFmtId="1" fontId="29" fillId="2" borderId="39" xfId="0" applyNumberFormat="1" applyFont="1" applyFill="1" applyBorder="1" applyAlignment="1">
      <alignment horizontal="center"/>
    </xf>
    <xf numFmtId="170" fontId="29" fillId="2" borderId="39" xfId="0" applyNumberFormat="1" applyFont="1" applyFill="1" applyBorder="1" applyAlignment="1">
      <alignment horizontal="center"/>
    </xf>
    <xf numFmtId="2" fontId="29" fillId="2" borderId="39" xfId="0" applyNumberFormat="1" applyFont="1" applyFill="1" applyBorder="1" applyAlignment="1">
      <alignment horizontal="center"/>
    </xf>
    <xf numFmtId="172" fontId="29" fillId="2" borderId="39" xfId="0" applyNumberFormat="1" applyFont="1" applyFill="1" applyBorder="1"/>
    <xf numFmtId="172" fontId="29" fillId="2" borderId="74" xfId="0" applyNumberFormat="1" applyFont="1" applyFill="1" applyBorder="1"/>
    <xf numFmtId="165" fontId="29" fillId="2" borderId="97" xfId="0" applyNumberFormat="1" applyFont="1" applyFill="1" applyBorder="1"/>
    <xf numFmtId="0" fontId="29" fillId="2" borderId="98" xfId="0" applyFont="1" applyFill="1" applyBorder="1"/>
    <xf numFmtId="1" fontId="29" fillId="2" borderId="45" xfId="0" applyNumberFormat="1" applyFont="1" applyFill="1" applyBorder="1" applyAlignment="1">
      <alignment horizontal="center"/>
    </xf>
    <xf numFmtId="172" fontId="29" fillId="2" borderId="45" xfId="0" applyNumberFormat="1" applyFont="1" applyFill="1" applyBorder="1"/>
    <xf numFmtId="172" fontId="29" fillId="2" borderId="65" xfId="0" applyNumberFormat="1" applyFont="1" applyFill="1" applyBorder="1"/>
    <xf numFmtId="165" fontId="29" fillId="2" borderId="99" xfId="0" applyNumberFormat="1" applyFont="1" applyFill="1" applyBorder="1"/>
    <xf numFmtId="170" fontId="29" fillId="2" borderId="45" xfId="0" applyNumberFormat="1" applyFont="1" applyFill="1" applyBorder="1" applyAlignment="1">
      <alignment horizontal="center"/>
    </xf>
    <xf numFmtId="2" fontId="29" fillId="2" borderId="45" xfId="0" applyNumberFormat="1" applyFont="1" applyFill="1" applyBorder="1" applyAlignment="1">
      <alignment horizontal="center"/>
    </xf>
    <xf numFmtId="172" fontId="29" fillId="2" borderId="100" xfId="0" applyNumberFormat="1" applyFont="1" applyFill="1" applyBorder="1"/>
    <xf numFmtId="165" fontId="29" fillId="2" borderId="101" xfId="0" applyNumberFormat="1" applyFont="1" applyFill="1" applyBorder="1"/>
    <xf numFmtId="2" fontId="16" fillId="2" borderId="102" xfId="0" applyNumberFormat="1" applyFont="1" applyFill="1" applyBorder="1" applyAlignment="1">
      <alignment horizontal="center"/>
    </xf>
    <xf numFmtId="4" fontId="53" fillId="2" borderId="103" xfId="0" applyNumberFormat="1" applyFont="1" applyFill="1" applyBorder="1"/>
    <xf numFmtId="165" fontId="16" fillId="2" borderId="70" xfId="0" applyNumberFormat="1" applyFont="1" applyFill="1" applyBorder="1"/>
    <xf numFmtId="0" fontId="47" fillId="0" borderId="104" xfId="0" applyFont="1" applyBorder="1" applyAlignment="1">
      <alignment horizontal="center" vertical="center" wrapText="1"/>
    </xf>
    <xf numFmtId="0" fontId="13" fillId="0" borderId="105" xfId="0" applyFont="1" applyBorder="1"/>
    <xf numFmtId="0" fontId="54" fillId="0" borderId="0" xfId="0" applyFont="1" applyAlignment="1">
      <alignment horizontal="center"/>
    </xf>
    <xf numFmtId="0" fontId="48" fillId="0" borderId="106" xfId="0" applyFont="1" applyBorder="1" applyAlignment="1">
      <alignment horizontal="left"/>
    </xf>
    <xf numFmtId="0" fontId="48" fillId="0" borderId="107" xfId="0" applyFont="1" applyBorder="1" applyAlignment="1">
      <alignment horizontal="left"/>
    </xf>
    <xf numFmtId="49" fontId="12" fillId="2" borderId="0" xfId="0" applyNumberFormat="1" applyFont="1" applyFill="1" applyAlignment="1">
      <alignment vertical="center"/>
    </xf>
    <xf numFmtId="0" fontId="45" fillId="0" borderId="108" xfId="0" quotePrefix="1" applyFont="1" applyBorder="1" applyAlignment="1">
      <alignment horizontal="center"/>
    </xf>
    <xf numFmtId="0" fontId="45" fillId="0" borderId="109" xfId="0" applyFont="1" applyBorder="1" applyAlignment="1">
      <alignment horizontal="center"/>
    </xf>
    <xf numFmtId="0" fontId="45" fillId="0" borderId="110" xfId="0" applyFont="1" applyBorder="1" applyAlignment="1">
      <alignment horizontal="center"/>
    </xf>
    <xf numFmtId="0" fontId="45" fillId="0" borderId="111" xfId="0" applyFont="1" applyBorder="1" applyAlignment="1">
      <alignment horizontal="center"/>
    </xf>
    <xf numFmtId="0" fontId="55" fillId="0" borderId="0" xfId="0" applyFont="1" applyAlignment="1">
      <alignment horizontal="center"/>
    </xf>
    <xf numFmtId="0" fontId="56" fillId="18" borderId="18" xfId="0" applyFont="1" applyFill="1" applyBorder="1" applyAlignment="1">
      <alignment horizontal="center" vertical="center"/>
    </xf>
    <xf numFmtId="169" fontId="57" fillId="18" borderId="21" xfId="0" applyNumberFormat="1" applyFont="1" applyFill="1" applyBorder="1" applyAlignment="1">
      <alignment horizontal="center" vertical="center"/>
    </xf>
    <xf numFmtId="169" fontId="57" fillId="18" borderId="24" xfId="0" applyNumberFormat="1" applyFont="1" applyFill="1" applyBorder="1" applyAlignment="1">
      <alignment horizontal="center" vertical="center"/>
    </xf>
    <xf numFmtId="169" fontId="57" fillId="18" borderId="20" xfId="0" applyNumberFormat="1" applyFont="1" applyFill="1" applyBorder="1" applyAlignment="1">
      <alignment horizontal="center" vertical="center"/>
    </xf>
    <xf numFmtId="169" fontId="57" fillId="18" borderId="22" xfId="0" applyNumberFormat="1" applyFont="1" applyFill="1" applyBorder="1" applyAlignment="1">
      <alignment horizontal="center" vertical="center"/>
    </xf>
    <xf numFmtId="0" fontId="58" fillId="18" borderId="19" xfId="0" applyFont="1" applyFill="1" applyBorder="1" applyAlignment="1">
      <alignment horizontal="center" vertical="center"/>
    </xf>
    <xf numFmtId="0" fontId="58" fillId="18" borderId="21" xfId="0" applyFont="1" applyFill="1" applyBorder="1" applyAlignment="1">
      <alignment horizontal="center" vertical="center"/>
    </xf>
    <xf numFmtId="0" fontId="58" fillId="18" borderId="24" xfId="0" applyFont="1" applyFill="1" applyBorder="1" applyAlignment="1">
      <alignment horizontal="center" vertical="center"/>
    </xf>
    <xf numFmtId="168" fontId="34" fillId="0" borderId="45" xfId="0" applyNumberFormat="1" applyFont="1" applyBorder="1" applyAlignment="1">
      <alignment horizontal="center"/>
    </xf>
    <xf numFmtId="0" fontId="34" fillId="0" borderId="45" xfId="0" applyFont="1" applyBorder="1" applyAlignment="1">
      <alignment horizontal="center"/>
    </xf>
    <xf numFmtId="0" fontId="47" fillId="0" borderId="45" xfId="0" applyFont="1" applyBorder="1" applyAlignment="1">
      <alignment horizontal="center" vertical="center"/>
    </xf>
    <xf numFmtId="0" fontId="34" fillId="0" borderId="44" xfId="0" applyFont="1" applyBorder="1" applyAlignment="1">
      <alignment horizontal="center" vertical="center"/>
    </xf>
    <xf numFmtId="0" fontId="34" fillId="0" borderId="45" xfId="0" applyFont="1" applyBorder="1" applyAlignment="1">
      <alignment horizontal="center" vertical="center"/>
    </xf>
    <xf numFmtId="0" fontId="56" fillId="18" borderId="25" xfId="0" applyFont="1" applyFill="1" applyBorder="1" applyAlignment="1">
      <alignment horizontal="center" vertical="center"/>
    </xf>
    <xf numFmtId="0" fontId="58" fillId="18" borderId="29" xfId="0" applyFont="1" applyFill="1" applyBorder="1" applyAlignment="1">
      <alignment horizontal="center" vertical="center" wrapText="1"/>
    </xf>
    <xf numFmtId="0" fontId="58" fillId="18" borderId="77" xfId="0" applyFont="1" applyFill="1" applyBorder="1" applyAlignment="1">
      <alignment horizontal="center" vertical="center" wrapText="1"/>
    </xf>
    <xf numFmtId="0" fontId="58" fillId="18" borderId="28" xfId="0" applyFont="1" applyFill="1" applyBorder="1" applyAlignment="1">
      <alignment horizontal="center" vertical="center" wrapText="1"/>
    </xf>
    <xf numFmtId="0" fontId="58" fillId="18" borderId="29" xfId="0" applyFont="1" applyFill="1" applyBorder="1" applyAlignment="1">
      <alignment horizontal="center" vertical="center"/>
    </xf>
    <xf numFmtId="0" fontId="58" fillId="18" borderId="30" xfId="0" applyFont="1" applyFill="1" applyBorder="1" applyAlignment="1">
      <alignment horizontal="center" vertical="center"/>
    </xf>
    <xf numFmtId="0" fontId="58" fillId="18" borderId="26" xfId="0" applyFont="1" applyFill="1" applyBorder="1" applyAlignment="1">
      <alignment horizontal="center" vertical="center"/>
    </xf>
    <xf numFmtId="0" fontId="58" fillId="18" borderId="27" xfId="0" applyFont="1" applyFill="1" applyBorder="1" applyAlignment="1">
      <alignment horizontal="center" vertical="center"/>
    </xf>
    <xf numFmtId="10" fontId="21" fillId="3" borderId="37" xfId="0" applyNumberFormat="1" applyFont="1" applyFill="1" applyBorder="1" applyAlignment="1">
      <alignment horizontal="center" vertical="center"/>
    </xf>
    <xf numFmtId="0" fontId="58" fillId="18" borderId="33" xfId="0" applyFont="1" applyFill="1" applyBorder="1" applyAlignment="1">
      <alignment horizontal="center" vertical="center"/>
    </xf>
    <xf numFmtId="0" fontId="59" fillId="0" borderId="112" xfId="0" applyFont="1" applyBorder="1" applyAlignment="1">
      <alignment horizontal="left" vertical="center" indent="1"/>
    </xf>
    <xf numFmtId="0" fontId="10" fillId="0" borderId="72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113" xfId="0" applyFont="1" applyBorder="1" applyAlignment="1">
      <alignment horizontal="center" vertical="center"/>
    </xf>
    <xf numFmtId="0" fontId="58" fillId="18" borderId="114" xfId="0" applyFont="1" applyFill="1" applyBorder="1" applyAlignment="1">
      <alignment horizontal="center" vertical="center"/>
    </xf>
    <xf numFmtId="44" fontId="60" fillId="16" borderId="35" xfId="1" applyFont="1" applyFill="1" applyBorder="1" applyAlignment="1">
      <alignment horizontal="center" vertical="center"/>
    </xf>
    <xf numFmtId="44" fontId="60" fillId="16" borderId="37" xfId="1" applyFont="1" applyFill="1" applyBorder="1" applyAlignment="1">
      <alignment horizontal="center" vertical="center"/>
    </xf>
    <xf numFmtId="44" fontId="60" fillId="19" borderId="73" xfId="1" applyFont="1" applyFill="1" applyBorder="1" applyAlignment="1">
      <alignment horizontal="center" vertical="center"/>
    </xf>
    <xf numFmtId="0" fontId="47" fillId="0" borderId="50" xfId="0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/>
    </xf>
    <xf numFmtId="0" fontId="45" fillId="0" borderId="115" xfId="0" applyFont="1" applyBorder="1" applyAlignment="1">
      <alignment horizontal="center"/>
    </xf>
    <xf numFmtId="0" fontId="59" fillId="0" borderId="116" xfId="0" applyFont="1" applyBorder="1" applyAlignment="1">
      <alignment horizontal="left" vertical="center" indent="1"/>
    </xf>
    <xf numFmtId="0" fontId="10" fillId="0" borderId="73" xfId="0" applyFont="1" applyBorder="1" applyAlignment="1">
      <alignment horizontal="center" vertical="center"/>
    </xf>
    <xf numFmtId="0" fontId="10" fillId="0" borderId="85" xfId="0" applyFont="1" applyBorder="1" applyAlignment="1">
      <alignment horizontal="center" vertical="center"/>
    </xf>
    <xf numFmtId="0" fontId="10" fillId="0" borderId="117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34" fillId="0" borderId="47" xfId="0" applyFont="1" applyBorder="1" applyAlignment="1">
      <alignment horizontal="center"/>
    </xf>
    <xf numFmtId="0" fontId="45" fillId="0" borderId="66" xfId="0" applyFont="1" applyBorder="1" applyAlignment="1">
      <alignment horizontal="center"/>
    </xf>
    <xf numFmtId="0" fontId="55" fillId="0" borderId="46" xfId="0" applyFont="1" applyBorder="1" applyAlignment="1">
      <alignment horizontal="center"/>
    </xf>
    <xf numFmtId="0" fontId="12" fillId="0" borderId="53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52" fillId="0" borderId="53" xfId="0" applyFont="1" applyBorder="1"/>
    <xf numFmtId="0" fontId="52" fillId="0" borderId="117" xfId="0" applyFont="1" applyBorder="1"/>
    <xf numFmtId="44" fontId="60" fillId="19" borderId="37" xfId="1" applyFont="1" applyFill="1" applyBorder="1" applyAlignment="1">
      <alignment horizontal="center" vertical="center"/>
    </xf>
    <xf numFmtId="0" fontId="59" fillId="0" borderId="25" xfId="0" applyFont="1" applyBorder="1" applyAlignment="1">
      <alignment horizontal="left" vertical="center" indent="1"/>
    </xf>
    <xf numFmtId="0" fontId="12" fillId="0" borderId="30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52" fillId="0" borderId="30" xfId="0" applyFont="1" applyBorder="1"/>
    <xf numFmtId="0" fontId="10" fillId="0" borderId="77" xfId="0" applyFont="1" applyBorder="1" applyAlignment="1">
      <alignment horizontal="center" vertical="center"/>
    </xf>
    <xf numFmtId="0" fontId="10" fillId="0" borderId="78" xfId="0" applyFont="1" applyBorder="1" applyAlignment="1">
      <alignment horizontal="center" vertical="center"/>
    </xf>
    <xf numFmtId="0" fontId="52" fillId="0" borderId="77" xfId="0" applyFont="1" applyBorder="1"/>
    <xf numFmtId="44" fontId="60" fillId="19" borderId="29" xfId="1" applyFont="1" applyFill="1" applyBorder="1" applyAlignment="1">
      <alignment horizontal="center" vertical="center"/>
    </xf>
    <xf numFmtId="0" fontId="59" fillId="0" borderId="118" xfId="0" applyFont="1" applyBorder="1" applyAlignment="1">
      <alignment horizontal="left" vertical="center" indent="1"/>
    </xf>
    <xf numFmtId="0" fontId="12" fillId="0" borderId="32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52" fillId="0" borderId="27" xfId="0" applyFont="1" applyBorder="1"/>
    <xf numFmtId="0" fontId="52" fillId="0" borderId="32" xfId="0" applyFont="1" applyBorder="1"/>
    <xf numFmtId="0" fontId="10" fillId="0" borderId="33" xfId="0" applyFont="1" applyBorder="1" applyAlignment="1">
      <alignment horizontal="center" vertical="center"/>
    </xf>
    <xf numFmtId="0" fontId="10" fillId="0" borderId="119" xfId="0" applyFont="1" applyBorder="1" applyAlignment="1">
      <alignment horizontal="center" vertical="center"/>
    </xf>
    <xf numFmtId="0" fontId="52" fillId="0" borderId="33" xfId="0" applyFont="1" applyBorder="1"/>
    <xf numFmtId="44" fontId="60" fillId="19" borderId="27" xfId="1" applyFont="1" applyFill="1" applyBorder="1" applyAlignment="1">
      <alignment horizontal="center" vertical="center"/>
    </xf>
    <xf numFmtId="0" fontId="61" fillId="0" borderId="0" xfId="0" applyFont="1"/>
    <xf numFmtId="0" fontId="58" fillId="18" borderId="86" xfId="0" applyFont="1" applyFill="1" applyBorder="1" applyAlignment="1">
      <alignment horizontal="center" vertical="center"/>
    </xf>
    <xf numFmtId="0" fontId="58" fillId="18" borderId="87" xfId="0" applyFont="1" applyFill="1" applyBorder="1" applyAlignment="1">
      <alignment vertical="center"/>
    </xf>
    <xf numFmtId="0" fontId="58" fillId="18" borderId="88" xfId="0" applyFont="1" applyFill="1" applyBorder="1" applyAlignment="1">
      <alignment vertical="center"/>
    </xf>
    <xf numFmtId="44" fontId="58" fillId="18" borderId="89" xfId="1" applyFont="1" applyFill="1" applyBorder="1" applyAlignment="1">
      <alignment vertical="center"/>
    </xf>
    <xf numFmtId="0" fontId="47" fillId="0" borderId="39" xfId="0" applyFont="1" applyBorder="1" applyAlignment="1">
      <alignment horizontal="center" vertical="center"/>
    </xf>
    <xf numFmtId="0" fontId="34" fillId="0" borderId="40" xfId="0" applyFont="1" applyBorder="1" applyAlignment="1">
      <alignment horizontal="center" vertical="center"/>
    </xf>
    <xf numFmtId="0" fontId="3" fillId="0" borderId="85" xfId="0" applyFont="1" applyBorder="1" applyAlignment="1">
      <alignment horizontal="center"/>
    </xf>
    <xf numFmtId="0" fontId="29" fillId="2" borderId="0" xfId="0" applyFont="1" applyFill="1" applyAlignment="1">
      <alignment horizontal="center" vertical="center"/>
    </xf>
    <xf numFmtId="0" fontId="47" fillId="0" borderId="45" xfId="0" applyFont="1" applyBorder="1" applyAlignment="1">
      <alignment horizontal="center"/>
    </xf>
    <xf numFmtId="0" fontId="47" fillId="0" borderId="47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/>
    </xf>
    <xf numFmtId="0" fontId="47" fillId="2" borderId="45" xfId="0" applyFont="1" applyFill="1" applyBorder="1" applyAlignment="1">
      <alignment horizontal="center" vertical="center"/>
    </xf>
    <xf numFmtId="0" fontId="45" fillId="0" borderId="45" xfId="0" applyFont="1" applyBorder="1" applyAlignment="1">
      <alignment horizontal="center"/>
    </xf>
    <xf numFmtId="0" fontId="45" fillId="0" borderId="47" xfId="0" applyFont="1" applyBorder="1" applyAlignment="1">
      <alignment horizontal="center"/>
    </xf>
    <xf numFmtId="0" fontId="3" fillId="2" borderId="45" xfId="0" applyFont="1" applyFill="1" applyBorder="1" applyAlignment="1">
      <alignment horizontal="center"/>
    </xf>
    <xf numFmtId="49" fontId="3" fillId="0" borderId="102" xfId="0" applyNumberFormat="1" applyFont="1" applyBorder="1" applyAlignment="1">
      <alignment horizontal="center"/>
    </xf>
    <xf numFmtId="0" fontId="3" fillId="2" borderId="102" xfId="0" applyFont="1" applyFill="1" applyBorder="1" applyAlignment="1">
      <alignment horizontal="center"/>
    </xf>
    <xf numFmtId="0" fontId="3" fillId="2" borderId="103" xfId="0" applyFont="1" applyFill="1" applyBorder="1" applyAlignment="1">
      <alignment horizontal="center"/>
    </xf>
    <xf numFmtId="0" fontId="3" fillId="0" borderId="70" xfId="0" applyFont="1" applyBorder="1" applyAlignment="1">
      <alignment horizontal="center"/>
    </xf>
    <xf numFmtId="0" fontId="45" fillId="0" borderId="63" xfId="0" applyFont="1" applyBorder="1" applyAlignment="1">
      <alignment horizontal="center"/>
    </xf>
    <xf numFmtId="0" fontId="45" fillId="0" borderId="92" xfId="0" applyFont="1" applyBorder="1" applyAlignment="1">
      <alignment horizontal="center"/>
    </xf>
    <xf numFmtId="167" fontId="45" fillId="0" borderId="44" xfId="0" applyNumberFormat="1" applyFont="1" applyBorder="1" applyAlignment="1">
      <alignment horizontal="center"/>
    </xf>
    <xf numFmtId="167" fontId="45" fillId="0" borderId="45" xfId="0" applyNumberFormat="1" applyFont="1" applyBorder="1" applyAlignment="1">
      <alignment horizontal="center"/>
    </xf>
    <xf numFmtId="167" fontId="45" fillId="0" borderId="47" xfId="0" applyNumberFormat="1" applyFont="1" applyBorder="1" applyAlignment="1">
      <alignment horizontal="center"/>
    </xf>
    <xf numFmtId="167" fontId="45" fillId="0" borderId="66" xfId="0" applyNumberFormat="1" applyFont="1" applyBorder="1" applyAlignment="1">
      <alignment horizontal="center"/>
    </xf>
    <xf numFmtId="0" fontId="45" fillId="0" borderId="69" xfId="0" applyFont="1" applyBorder="1" applyAlignment="1">
      <alignment horizontal="center"/>
    </xf>
    <xf numFmtId="167" fontId="46" fillId="0" borderId="102" xfId="0" applyNumberFormat="1" applyFont="1" applyBorder="1" applyAlignment="1">
      <alignment horizontal="center"/>
    </xf>
    <xf numFmtId="167" fontId="46" fillId="0" borderId="103" xfId="0" applyNumberFormat="1" applyFont="1" applyBorder="1" applyAlignment="1">
      <alignment horizontal="center"/>
    </xf>
    <xf numFmtId="167" fontId="46" fillId="0" borderId="70" xfId="0" applyNumberFormat="1" applyFont="1" applyBorder="1" applyAlignment="1">
      <alignment horizontal="center"/>
    </xf>
    <xf numFmtId="0" fontId="45" fillId="0" borderId="120" xfId="0" applyFont="1" applyBorder="1" applyAlignment="1">
      <alignment horizontal="center"/>
    </xf>
    <xf numFmtId="0" fontId="3" fillId="0" borderId="0" xfId="0" applyFont="1" applyAlignment="1">
      <alignment vertical="top" wrapText="1"/>
    </xf>
    <xf numFmtId="173" fontId="45" fillId="0" borderId="121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0" fontId="45" fillId="0" borderId="45" xfId="0" applyFont="1" applyBorder="1" applyAlignment="1">
      <alignment horizontal="left"/>
    </xf>
    <xf numFmtId="0" fontId="61" fillId="0" borderId="0" xfId="0" applyFont="1" applyAlignment="1">
      <alignment horizontal="center"/>
    </xf>
    <xf numFmtId="0" fontId="3" fillId="2" borderId="6" xfId="0" applyFont="1" applyFill="1" applyBorder="1"/>
    <xf numFmtId="0" fontId="3" fillId="2" borderId="10" xfId="0" applyFont="1" applyFill="1" applyBorder="1"/>
    <xf numFmtId="0" fontId="29" fillId="2" borderId="10" xfId="0" applyFont="1" applyFill="1" applyBorder="1"/>
    <xf numFmtId="0" fontId="29" fillId="2" borderId="15" xfId="0" applyFont="1" applyFill="1" applyBorder="1"/>
    <xf numFmtId="0" fontId="11" fillId="2" borderId="14" xfId="0" applyFont="1" applyFill="1" applyBorder="1"/>
    <xf numFmtId="0" fontId="29" fillId="2" borderId="14" xfId="0" applyFont="1" applyFill="1" applyBorder="1"/>
    <xf numFmtId="0" fontId="9" fillId="2" borderId="0" xfId="0" applyFont="1" applyFill="1"/>
    <xf numFmtId="0" fontId="9" fillId="2" borderId="16" xfId="0" applyFont="1" applyFill="1" applyBorder="1"/>
    <xf numFmtId="0" fontId="15" fillId="17" borderId="96" xfId="0" applyFont="1" applyFill="1" applyBorder="1" applyAlignment="1">
      <alignment horizontal="center" vertical="center"/>
    </xf>
    <xf numFmtId="0" fontId="62" fillId="17" borderId="39" xfId="0" applyFont="1" applyFill="1" applyBorder="1" applyAlignment="1">
      <alignment horizontal="center" vertical="center"/>
    </xf>
    <xf numFmtId="0" fontId="16" fillId="17" borderId="39" xfId="0" applyFont="1" applyFill="1" applyBorder="1" applyAlignment="1">
      <alignment horizontal="center" vertical="center"/>
    </xf>
    <xf numFmtId="0" fontId="16" fillId="17" borderId="39" xfId="0" applyFont="1" applyFill="1" applyBorder="1" applyAlignment="1">
      <alignment horizontal="center" vertical="center" wrapText="1"/>
    </xf>
    <xf numFmtId="0" fontId="63" fillId="17" borderId="39" xfId="0" applyFont="1" applyFill="1" applyBorder="1" applyAlignment="1">
      <alignment horizontal="center" vertical="center"/>
    </xf>
    <xf numFmtId="0" fontId="63" fillId="17" borderId="41" xfId="0" applyFont="1" applyFill="1" applyBorder="1" applyAlignment="1">
      <alignment horizontal="center" vertical="center"/>
    </xf>
    <xf numFmtId="0" fontId="52" fillId="17" borderId="96" xfId="0" applyFont="1" applyFill="1" applyBorder="1" applyAlignment="1">
      <alignment horizontal="center" vertical="center"/>
    </xf>
    <xf numFmtId="0" fontId="3" fillId="17" borderId="39" xfId="0" applyFont="1" applyFill="1" applyBorder="1" applyAlignment="1">
      <alignment horizontal="center" vertical="center"/>
    </xf>
    <xf numFmtId="0" fontId="20" fillId="17" borderId="39" xfId="0" applyFont="1" applyFill="1" applyBorder="1" applyAlignment="1">
      <alignment horizontal="center" vertical="center"/>
    </xf>
    <xf numFmtId="0" fontId="52" fillId="17" borderId="39" xfId="0" applyFont="1" applyFill="1" applyBorder="1" applyAlignment="1">
      <alignment horizontal="center" vertical="center" wrapText="1"/>
    </xf>
    <xf numFmtId="0" fontId="64" fillId="17" borderId="39" xfId="0" applyFont="1" applyFill="1" applyBorder="1" applyAlignment="1">
      <alignment horizontal="center" vertical="center"/>
    </xf>
    <xf numFmtId="0" fontId="64" fillId="17" borderId="41" xfId="0" applyFont="1" applyFill="1" applyBorder="1" applyAlignment="1">
      <alignment horizontal="center" vertical="center"/>
    </xf>
    <xf numFmtId="0" fontId="24" fillId="2" borderId="98" xfId="0" applyFont="1" applyFill="1" applyBorder="1"/>
    <xf numFmtId="0" fontId="43" fillId="2" borderId="45" xfId="0" applyFont="1" applyFill="1" applyBorder="1" applyAlignment="1">
      <alignment horizontal="center"/>
    </xf>
    <xf numFmtId="0" fontId="16" fillId="17" borderId="45" xfId="0" applyFont="1" applyFill="1" applyBorder="1" applyAlignment="1">
      <alignment horizontal="center"/>
    </xf>
    <xf numFmtId="44" fontId="26" fillId="2" borderId="45" xfId="1" applyFont="1" applyFill="1" applyBorder="1"/>
    <xf numFmtId="44" fontId="26" fillId="2" borderId="47" xfId="1" applyFont="1" applyFill="1" applyBorder="1"/>
    <xf numFmtId="165" fontId="26" fillId="2" borderId="66" xfId="0" applyNumberFormat="1" applyFont="1" applyFill="1" applyBorder="1"/>
    <xf numFmtId="170" fontId="3" fillId="0" borderId="0" xfId="0" applyNumberFormat="1" applyFont="1"/>
    <xf numFmtId="2" fontId="29" fillId="2" borderId="102" xfId="0" applyNumberFormat="1" applyFont="1" applyFill="1" applyBorder="1" applyAlignment="1">
      <alignment horizontal="center"/>
    </xf>
    <xf numFmtId="2" fontId="26" fillId="2" borderId="102" xfId="0" applyNumberFormat="1" applyFont="1" applyFill="1" applyBorder="1"/>
    <xf numFmtId="2" fontId="26" fillId="2" borderId="103" xfId="0" applyNumberFormat="1" applyFont="1" applyFill="1" applyBorder="1"/>
    <xf numFmtId="165" fontId="32" fillId="2" borderId="70" xfId="0" applyNumberFormat="1" applyFont="1" applyFill="1" applyBorder="1"/>
    <xf numFmtId="2" fontId="3" fillId="2" borderId="0" xfId="0" applyNumberFormat="1" applyFont="1" applyFill="1"/>
    <xf numFmtId="0" fontId="15" fillId="2" borderId="0" xfId="0" applyFont="1" applyFill="1"/>
    <xf numFmtId="0" fontId="51" fillId="2" borderId="0" xfId="0" applyFont="1" applyFill="1"/>
    <xf numFmtId="0" fontId="44" fillId="2" borderId="0" xfId="0" applyFont="1" applyFill="1"/>
    <xf numFmtId="0" fontId="24" fillId="0" borderId="0" xfId="0" applyFont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14" xfId="0" applyFont="1" applyFill="1" applyBorder="1" applyAlignment="1">
      <alignment horizontal="left" vertical="center"/>
    </xf>
    <xf numFmtId="0" fontId="8" fillId="2" borderId="15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/>
    </xf>
    <xf numFmtId="0" fontId="16" fillId="3" borderId="23" xfId="0" applyFont="1" applyFill="1" applyBorder="1" applyAlignment="1">
      <alignment horizontal="center" vertical="center"/>
    </xf>
    <xf numFmtId="0" fontId="16" fillId="3" borderId="31" xfId="0" applyFont="1" applyFill="1" applyBorder="1" applyAlignment="1">
      <alignment horizontal="center" vertical="center"/>
    </xf>
    <xf numFmtId="0" fontId="8" fillId="0" borderId="30" xfId="3" applyFont="1" applyBorder="1" applyAlignment="1">
      <alignment horizontal="center" vertical="center"/>
    </xf>
    <xf numFmtId="0" fontId="8" fillId="0" borderId="76" xfId="3" applyFont="1" applyBorder="1" applyAlignment="1">
      <alignment horizontal="center" vertical="center"/>
    </xf>
    <xf numFmtId="0" fontId="8" fillId="0" borderId="80" xfId="3" applyFont="1" applyBorder="1" applyAlignment="1">
      <alignment horizontal="center" vertical="center"/>
    </xf>
    <xf numFmtId="0" fontId="36" fillId="0" borderId="78" xfId="3" applyFont="1" applyBorder="1" applyAlignment="1">
      <alignment horizontal="center" vertical="center"/>
    </xf>
    <xf numFmtId="0" fontId="36" fillId="0" borderId="0" xfId="3" applyFont="1" applyAlignment="1">
      <alignment horizontal="center" vertical="center"/>
    </xf>
    <xf numFmtId="0" fontId="36" fillId="0" borderId="12" xfId="3" applyFont="1" applyBorder="1" applyAlignment="1">
      <alignment horizontal="center" vertical="center"/>
    </xf>
    <xf numFmtId="0" fontId="13" fillId="0" borderId="78" xfId="3" applyFont="1" applyBorder="1" applyAlignment="1">
      <alignment horizontal="center" vertical="center"/>
    </xf>
    <xf numFmtId="0" fontId="13" fillId="0" borderId="28" xfId="3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3" fillId="0" borderId="79" xfId="3" applyFont="1" applyBorder="1" applyAlignment="1">
      <alignment horizontal="center" vertical="center"/>
    </xf>
    <xf numFmtId="0" fontId="13" fillId="0" borderId="12" xfId="3" applyFont="1" applyBorder="1" applyAlignment="1">
      <alignment horizontal="center" vertical="center"/>
    </xf>
    <xf numFmtId="0" fontId="13" fillId="0" borderId="81" xfId="3" applyFont="1" applyBorder="1" applyAlignment="1">
      <alignment horizontal="center" vertical="center"/>
    </xf>
    <xf numFmtId="0" fontId="10" fillId="2" borderId="59" xfId="0" applyFont="1" applyFill="1" applyBorder="1" applyAlignment="1">
      <alignment horizontal="center" vertical="center"/>
    </xf>
    <xf numFmtId="0" fontId="37" fillId="0" borderId="59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8" fillId="8" borderId="82" xfId="3" applyFont="1" applyFill="1" applyBorder="1" applyAlignment="1">
      <alignment horizontal="center" vertical="center"/>
    </xf>
    <xf numFmtId="0" fontId="38" fillId="8" borderId="35" xfId="3" applyFont="1" applyFill="1" applyBorder="1" applyAlignment="1">
      <alignment horizontal="center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83" xfId="4" applyFont="1" applyFill="1" applyBorder="1" applyAlignment="1">
      <alignment horizontal="center" vertical="center"/>
    </xf>
    <xf numFmtId="0" fontId="8" fillId="2" borderId="0" xfId="4" applyFont="1" applyFill="1" applyAlignment="1">
      <alignment horizontal="center" vertical="center"/>
    </xf>
    <xf numFmtId="0" fontId="8" fillId="2" borderId="9" xfId="4" applyFont="1" applyFill="1" applyBorder="1" applyAlignment="1">
      <alignment horizontal="center" vertical="center"/>
    </xf>
    <xf numFmtId="0" fontId="8" fillId="2" borderId="14" xfId="4" applyFont="1" applyFill="1" applyBorder="1" applyAlignment="1">
      <alignment horizontal="center" vertical="center"/>
    </xf>
    <xf numFmtId="0" fontId="8" fillId="2" borderId="84" xfId="4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37" fillId="0" borderId="37" xfId="0" applyFont="1" applyBorder="1" applyAlignment="1">
      <alignment horizontal="center"/>
    </xf>
    <xf numFmtId="0" fontId="29" fillId="2" borderId="67" xfId="0" applyFont="1" applyFill="1" applyBorder="1" applyAlignment="1">
      <alignment horizontal="center" vertical="center"/>
    </xf>
    <xf numFmtId="0" fontId="13" fillId="0" borderId="68" xfId="0" applyFont="1" applyBorder="1"/>
    <xf numFmtId="0" fontId="13" fillId="0" borderId="69" xfId="0" applyFont="1" applyBorder="1"/>
    <xf numFmtId="0" fontId="49" fillId="2" borderId="1" xfId="0" applyFont="1" applyFill="1" applyBorder="1" applyAlignment="1">
      <alignment horizontal="center" vertical="center"/>
    </xf>
    <xf numFmtId="0" fontId="13" fillId="0" borderId="5" xfId="0" applyFont="1" applyBorder="1"/>
    <xf numFmtId="0" fontId="13" fillId="0" borderId="6" xfId="0" applyFont="1" applyBorder="1"/>
    <xf numFmtId="0" fontId="13" fillId="0" borderId="7" xfId="0" applyFont="1" applyBorder="1"/>
    <xf numFmtId="0" fontId="0" fillId="0" borderId="0" xfId="0"/>
    <xf numFmtId="0" fontId="13" fillId="0" borderId="10" xfId="0" applyFont="1" applyBorder="1"/>
    <xf numFmtId="0" fontId="13" fillId="0" borderId="75" xfId="0" applyFont="1" applyBorder="1"/>
    <xf numFmtId="0" fontId="13" fillId="0" borderId="14" xfId="0" applyFont="1" applyBorder="1"/>
    <xf numFmtId="0" fontId="13" fillId="0" borderId="15" xfId="0" applyFont="1" applyBorder="1"/>
    <xf numFmtId="49" fontId="12" fillId="2" borderId="12" xfId="0" applyNumberFormat="1" applyFont="1" applyFill="1" applyBorder="1" applyAlignment="1">
      <alignment horizontal="center" vertical="center"/>
    </xf>
    <xf numFmtId="0" fontId="12" fillId="2" borderId="90" xfId="0" applyFont="1" applyFill="1" applyBorder="1" applyAlignment="1">
      <alignment horizontal="right"/>
    </xf>
    <xf numFmtId="0" fontId="13" fillId="0" borderId="90" xfId="0" applyFont="1" applyBorder="1"/>
    <xf numFmtId="0" fontId="45" fillId="0" borderId="47" xfId="0" applyFont="1" applyBorder="1" applyAlignment="1">
      <alignment horizontal="center"/>
    </xf>
    <xf numFmtId="0" fontId="13" fillId="0" borderId="65" xfId="0" applyFont="1" applyBorder="1"/>
    <xf numFmtId="0" fontId="13" fillId="0" borderId="44" xfId="0" applyFont="1" applyBorder="1"/>
    <xf numFmtId="0" fontId="47" fillId="0" borderId="104" xfId="0" applyFont="1" applyBorder="1" applyAlignment="1">
      <alignment horizontal="center" vertical="center" wrapText="1"/>
    </xf>
    <xf numFmtId="0" fontId="13" fillId="0" borderId="105" xfId="0" applyFont="1" applyBorder="1"/>
    <xf numFmtId="49" fontId="12" fillId="2" borderId="86" xfId="0" applyNumberFormat="1" applyFont="1" applyFill="1" applyBorder="1" applyAlignment="1">
      <alignment horizontal="center" vertical="center"/>
    </xf>
    <xf numFmtId="49" fontId="12" fillId="2" borderId="87" xfId="0" applyNumberFormat="1" applyFont="1" applyFill="1" applyBorder="1" applyAlignment="1">
      <alignment horizontal="center" vertical="center"/>
    </xf>
    <xf numFmtId="49" fontId="12" fillId="2" borderId="88" xfId="0" applyNumberFormat="1" applyFont="1" applyFill="1" applyBorder="1" applyAlignment="1">
      <alignment horizontal="center" vertical="center"/>
    </xf>
    <xf numFmtId="49" fontId="12" fillId="2" borderId="89" xfId="0" applyNumberFormat="1" applyFont="1" applyFill="1" applyBorder="1" applyAlignment="1">
      <alignment horizontal="center" vertical="center"/>
    </xf>
    <xf numFmtId="0" fontId="45" fillId="0" borderId="61" xfId="0" applyFont="1" applyBorder="1" applyAlignment="1">
      <alignment horizontal="center"/>
    </xf>
    <xf numFmtId="0" fontId="13" fillId="0" borderId="63" xfId="0" applyFont="1" applyBorder="1"/>
    <xf numFmtId="0" fontId="45" fillId="0" borderId="64" xfId="0" applyFont="1" applyBorder="1" applyAlignment="1">
      <alignment horizontal="center"/>
    </xf>
    <xf numFmtId="0" fontId="45" fillId="0" borderId="67" xfId="0" applyFont="1" applyBorder="1" applyAlignment="1">
      <alignment horizontal="center"/>
    </xf>
    <xf numFmtId="0" fontId="45" fillId="0" borderId="47" xfId="0" applyFont="1" applyBorder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right" vertical="center"/>
    </xf>
    <xf numFmtId="0" fontId="13" fillId="0" borderId="59" xfId="0" applyFont="1" applyBorder="1"/>
    <xf numFmtId="0" fontId="13" fillId="0" borderId="71" xfId="0" applyFont="1" applyBorder="1"/>
    <xf numFmtId="0" fontId="15" fillId="2" borderId="67" xfId="0" applyFont="1" applyFill="1" applyBorder="1" applyAlignment="1">
      <alignment horizontal="right"/>
    </xf>
    <xf numFmtId="0" fontId="51" fillId="2" borderId="0" xfId="0" applyFont="1" applyFill="1" applyAlignment="1">
      <alignment horizontal="center"/>
    </xf>
    <xf numFmtId="0" fontId="13" fillId="0" borderId="0" xfId="0" applyFont="1"/>
    <xf numFmtId="0" fontId="44" fillId="2" borderId="0" xfId="0" applyFont="1" applyFill="1" applyAlignment="1">
      <alignment horizontal="center" vertical="center"/>
    </xf>
  </cellXfs>
  <cellStyles count="8">
    <cellStyle name="Moeda" xfId="1" builtinId="4"/>
    <cellStyle name="Moeda 7" xfId="7" xr:uid="{00000000-0005-0000-0000-000001000000}"/>
    <cellStyle name="Normal" xfId="0" builtinId="0"/>
    <cellStyle name="Normal 10" xfId="6" xr:uid="{00000000-0005-0000-0000-000003000000}"/>
    <cellStyle name="Normal 11" xfId="3" xr:uid="{00000000-0005-0000-0000-000004000000}"/>
    <cellStyle name="Normal 16" xfId="4" xr:uid="{00000000-0005-0000-0000-000005000000}"/>
    <cellStyle name="Normal 19" xfId="5" xr:uid="{00000000-0005-0000-0000-000006000000}"/>
    <cellStyle name="Normal 2 4 10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133350</xdr:rowOff>
    </xdr:from>
    <xdr:ext cx="1352550" cy="1038225"/>
    <xdr:pic>
      <xdr:nvPicPr>
        <xdr:cNvPr id="2" name="image7.jpg" descr="Imagem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295275"/>
          <a:ext cx="1352550" cy="10382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57150</xdr:colOff>
      <xdr:row>1</xdr:row>
      <xdr:rowOff>133350</xdr:rowOff>
    </xdr:from>
    <xdr:to>
      <xdr:col>0</xdr:col>
      <xdr:colOff>1409700</xdr:colOff>
      <xdr:row>5</xdr:row>
      <xdr:rowOff>31750</xdr:rowOff>
    </xdr:to>
    <xdr:pic>
      <xdr:nvPicPr>
        <xdr:cNvPr id="3" name="image7.jpg" descr="Imagem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95275"/>
          <a:ext cx="1352550" cy="1041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57150</xdr:colOff>
      <xdr:row>1</xdr:row>
      <xdr:rowOff>133350</xdr:rowOff>
    </xdr:from>
    <xdr:to>
      <xdr:col>0</xdr:col>
      <xdr:colOff>1409700</xdr:colOff>
      <xdr:row>5</xdr:row>
      <xdr:rowOff>41275</xdr:rowOff>
    </xdr:to>
    <xdr:pic>
      <xdr:nvPicPr>
        <xdr:cNvPr id="4" name="image7.jpg" descr="Imagem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95275"/>
          <a:ext cx="1352550" cy="1050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57150</xdr:colOff>
      <xdr:row>1</xdr:row>
      <xdr:rowOff>133350</xdr:rowOff>
    </xdr:from>
    <xdr:to>
      <xdr:col>0</xdr:col>
      <xdr:colOff>1409700</xdr:colOff>
      <xdr:row>5</xdr:row>
      <xdr:rowOff>41275</xdr:rowOff>
    </xdr:to>
    <xdr:pic>
      <xdr:nvPicPr>
        <xdr:cNvPr id="5" name="Picture 2" descr="Imagem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95275"/>
          <a:ext cx="1352550" cy="1050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57150</xdr:colOff>
      <xdr:row>1</xdr:row>
      <xdr:rowOff>133350</xdr:rowOff>
    </xdr:from>
    <xdr:to>
      <xdr:col>0</xdr:col>
      <xdr:colOff>1409700</xdr:colOff>
      <xdr:row>5</xdr:row>
      <xdr:rowOff>41275</xdr:rowOff>
    </xdr:to>
    <xdr:pic>
      <xdr:nvPicPr>
        <xdr:cNvPr id="6" name="image7.jpg" descr="Imagem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95275"/>
          <a:ext cx="1352550" cy="1050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8</xdr:col>
      <xdr:colOff>1000125</xdr:colOff>
      <xdr:row>2</xdr:row>
      <xdr:rowOff>95250</xdr:rowOff>
    </xdr:from>
    <xdr:to>
      <xdr:col>10</xdr:col>
      <xdr:colOff>811254</xdr:colOff>
      <xdr:row>4</xdr:row>
      <xdr:rowOff>512873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45375" y="447675"/>
          <a:ext cx="1658979" cy="798623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</xdr:row>
      <xdr:rowOff>133350</xdr:rowOff>
    </xdr:from>
    <xdr:to>
      <xdr:col>0</xdr:col>
      <xdr:colOff>1409700</xdr:colOff>
      <xdr:row>5</xdr:row>
      <xdr:rowOff>28575</xdr:rowOff>
    </xdr:to>
    <xdr:pic>
      <xdr:nvPicPr>
        <xdr:cNvPr id="8" name="image7.jpg" descr="Imagem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95275"/>
          <a:ext cx="1352550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57150</xdr:colOff>
      <xdr:row>1</xdr:row>
      <xdr:rowOff>133350</xdr:rowOff>
    </xdr:from>
    <xdr:to>
      <xdr:col>0</xdr:col>
      <xdr:colOff>1409700</xdr:colOff>
      <xdr:row>5</xdr:row>
      <xdr:rowOff>28575</xdr:rowOff>
    </xdr:to>
    <xdr:pic>
      <xdr:nvPicPr>
        <xdr:cNvPr id="9" name="Picture 2" descr="Imagem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95275"/>
          <a:ext cx="1352550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57150</xdr:colOff>
      <xdr:row>1</xdr:row>
      <xdr:rowOff>133350</xdr:rowOff>
    </xdr:from>
    <xdr:to>
      <xdr:col>0</xdr:col>
      <xdr:colOff>1409700</xdr:colOff>
      <xdr:row>5</xdr:row>
      <xdr:rowOff>38100</xdr:rowOff>
    </xdr:to>
    <xdr:pic>
      <xdr:nvPicPr>
        <xdr:cNvPr id="10" name="image7.jpg" descr="Imagem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95275"/>
          <a:ext cx="1352550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57150</xdr:colOff>
      <xdr:row>1</xdr:row>
      <xdr:rowOff>133350</xdr:rowOff>
    </xdr:from>
    <xdr:to>
      <xdr:col>0</xdr:col>
      <xdr:colOff>1409700</xdr:colOff>
      <xdr:row>5</xdr:row>
      <xdr:rowOff>38100</xdr:rowOff>
    </xdr:to>
    <xdr:pic>
      <xdr:nvPicPr>
        <xdr:cNvPr id="11" name="Picture 2" descr="Imagem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95275"/>
          <a:ext cx="1352550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57150</xdr:colOff>
      <xdr:row>1</xdr:row>
      <xdr:rowOff>133350</xdr:rowOff>
    </xdr:from>
    <xdr:to>
      <xdr:col>0</xdr:col>
      <xdr:colOff>1409700</xdr:colOff>
      <xdr:row>5</xdr:row>
      <xdr:rowOff>28575</xdr:rowOff>
    </xdr:to>
    <xdr:pic>
      <xdr:nvPicPr>
        <xdr:cNvPr id="12" name="Picture 3" descr="Imagem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95275"/>
          <a:ext cx="1352550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57150</xdr:colOff>
      <xdr:row>1</xdr:row>
      <xdr:rowOff>133350</xdr:rowOff>
    </xdr:from>
    <xdr:to>
      <xdr:col>0</xdr:col>
      <xdr:colOff>1409700</xdr:colOff>
      <xdr:row>5</xdr:row>
      <xdr:rowOff>28575</xdr:rowOff>
    </xdr:to>
    <xdr:pic>
      <xdr:nvPicPr>
        <xdr:cNvPr id="13" name="Picture 4" descr="Imagem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95275"/>
          <a:ext cx="1352550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57150</xdr:colOff>
      <xdr:row>1</xdr:row>
      <xdr:rowOff>133350</xdr:rowOff>
    </xdr:from>
    <xdr:to>
      <xdr:col>0</xdr:col>
      <xdr:colOff>1409700</xdr:colOff>
      <xdr:row>5</xdr:row>
      <xdr:rowOff>28575</xdr:rowOff>
    </xdr:to>
    <xdr:pic>
      <xdr:nvPicPr>
        <xdr:cNvPr id="14" name="image7.jpg" descr="Imagem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95275"/>
          <a:ext cx="1352550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57150</xdr:colOff>
      <xdr:row>1</xdr:row>
      <xdr:rowOff>133350</xdr:rowOff>
    </xdr:from>
    <xdr:to>
      <xdr:col>0</xdr:col>
      <xdr:colOff>1409700</xdr:colOff>
      <xdr:row>5</xdr:row>
      <xdr:rowOff>28575</xdr:rowOff>
    </xdr:to>
    <xdr:pic>
      <xdr:nvPicPr>
        <xdr:cNvPr id="15" name="Picture 6" descr="Imagem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95275"/>
          <a:ext cx="1352550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57150</xdr:colOff>
      <xdr:row>1</xdr:row>
      <xdr:rowOff>133350</xdr:rowOff>
    </xdr:from>
    <xdr:to>
      <xdr:col>0</xdr:col>
      <xdr:colOff>1409700</xdr:colOff>
      <xdr:row>5</xdr:row>
      <xdr:rowOff>28575</xdr:rowOff>
    </xdr:to>
    <xdr:pic>
      <xdr:nvPicPr>
        <xdr:cNvPr id="16" name="image7.jpg" descr="Imagem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95275"/>
          <a:ext cx="1352550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57150</xdr:colOff>
      <xdr:row>1</xdr:row>
      <xdr:rowOff>133350</xdr:rowOff>
    </xdr:from>
    <xdr:to>
      <xdr:col>0</xdr:col>
      <xdr:colOff>1409700</xdr:colOff>
      <xdr:row>5</xdr:row>
      <xdr:rowOff>28575</xdr:rowOff>
    </xdr:to>
    <xdr:pic>
      <xdr:nvPicPr>
        <xdr:cNvPr id="17" name="Picture 2" descr="Imagem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95275"/>
          <a:ext cx="1352550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57150</xdr:colOff>
      <xdr:row>1</xdr:row>
      <xdr:rowOff>133350</xdr:rowOff>
    </xdr:from>
    <xdr:to>
      <xdr:col>0</xdr:col>
      <xdr:colOff>1409700</xdr:colOff>
      <xdr:row>5</xdr:row>
      <xdr:rowOff>28575</xdr:rowOff>
    </xdr:to>
    <xdr:pic>
      <xdr:nvPicPr>
        <xdr:cNvPr id="18" name="Picture 3" descr="Imagem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95275"/>
          <a:ext cx="1352550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57150</xdr:colOff>
      <xdr:row>1</xdr:row>
      <xdr:rowOff>133350</xdr:rowOff>
    </xdr:from>
    <xdr:to>
      <xdr:col>0</xdr:col>
      <xdr:colOff>1409700</xdr:colOff>
      <xdr:row>5</xdr:row>
      <xdr:rowOff>28575</xdr:rowOff>
    </xdr:to>
    <xdr:pic>
      <xdr:nvPicPr>
        <xdr:cNvPr id="19" name="Picture 4" descr="Imagem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95275"/>
          <a:ext cx="1352550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57150</xdr:colOff>
      <xdr:row>1</xdr:row>
      <xdr:rowOff>133350</xdr:rowOff>
    </xdr:from>
    <xdr:to>
      <xdr:col>0</xdr:col>
      <xdr:colOff>1409700</xdr:colOff>
      <xdr:row>5</xdr:row>
      <xdr:rowOff>28575</xdr:rowOff>
    </xdr:to>
    <xdr:pic>
      <xdr:nvPicPr>
        <xdr:cNvPr id="20" name="image7.jpg" descr="Imagem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95275"/>
          <a:ext cx="1352550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57150</xdr:colOff>
      <xdr:row>1</xdr:row>
      <xdr:rowOff>133350</xdr:rowOff>
    </xdr:from>
    <xdr:to>
      <xdr:col>0</xdr:col>
      <xdr:colOff>1409700</xdr:colOff>
      <xdr:row>5</xdr:row>
      <xdr:rowOff>28575</xdr:rowOff>
    </xdr:to>
    <xdr:pic>
      <xdr:nvPicPr>
        <xdr:cNvPr id="21" name="Picture 2" descr="Imagem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95275"/>
          <a:ext cx="1352550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57150</xdr:colOff>
      <xdr:row>1</xdr:row>
      <xdr:rowOff>133350</xdr:rowOff>
    </xdr:from>
    <xdr:to>
      <xdr:col>0</xdr:col>
      <xdr:colOff>1409700</xdr:colOff>
      <xdr:row>5</xdr:row>
      <xdr:rowOff>28575</xdr:rowOff>
    </xdr:to>
    <xdr:pic>
      <xdr:nvPicPr>
        <xdr:cNvPr id="22" name="image7.jpg" descr="Imagem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95275"/>
          <a:ext cx="1352550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57150</xdr:colOff>
      <xdr:row>1</xdr:row>
      <xdr:rowOff>133350</xdr:rowOff>
    </xdr:from>
    <xdr:to>
      <xdr:col>0</xdr:col>
      <xdr:colOff>1409700</xdr:colOff>
      <xdr:row>5</xdr:row>
      <xdr:rowOff>28575</xdr:rowOff>
    </xdr:to>
    <xdr:pic>
      <xdr:nvPicPr>
        <xdr:cNvPr id="23" name="Picture 2" descr="Imagem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95275"/>
          <a:ext cx="1352550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57150</xdr:colOff>
      <xdr:row>1</xdr:row>
      <xdr:rowOff>133350</xdr:rowOff>
    </xdr:from>
    <xdr:to>
      <xdr:col>0</xdr:col>
      <xdr:colOff>1409700</xdr:colOff>
      <xdr:row>5</xdr:row>
      <xdr:rowOff>28575</xdr:rowOff>
    </xdr:to>
    <xdr:pic>
      <xdr:nvPicPr>
        <xdr:cNvPr id="24" name="image7.jpg" descr="Imagem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95275"/>
          <a:ext cx="1352550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57150</xdr:colOff>
      <xdr:row>1</xdr:row>
      <xdr:rowOff>133350</xdr:rowOff>
    </xdr:from>
    <xdr:to>
      <xdr:col>0</xdr:col>
      <xdr:colOff>1409700</xdr:colOff>
      <xdr:row>5</xdr:row>
      <xdr:rowOff>28575</xdr:rowOff>
    </xdr:to>
    <xdr:pic>
      <xdr:nvPicPr>
        <xdr:cNvPr id="25" name="Picture 2" descr="Imagem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95275"/>
          <a:ext cx="1352550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106081</xdr:colOff>
      <xdr:row>1</xdr:row>
      <xdr:rowOff>2987</xdr:rowOff>
    </xdr:from>
    <xdr:ext cx="1533525" cy="1152525"/>
    <xdr:pic>
      <xdr:nvPicPr>
        <xdr:cNvPr id="2" name="image5.jpg" descr="Imagem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6081" y="193487"/>
          <a:ext cx="1533525" cy="11525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71438</xdr:colOff>
      <xdr:row>0</xdr:row>
      <xdr:rowOff>128587</xdr:rowOff>
    </xdr:from>
    <xdr:ext cx="1619250" cy="1181100"/>
    <xdr:pic>
      <xdr:nvPicPr>
        <xdr:cNvPr id="2" name="image5.jpg" descr="Imagem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38" y="128587"/>
          <a:ext cx="16192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447675</xdr:colOff>
      <xdr:row>0</xdr:row>
      <xdr:rowOff>102053</xdr:rowOff>
    </xdr:from>
    <xdr:ext cx="2151290" cy="1217839"/>
    <xdr:pic>
      <xdr:nvPicPr>
        <xdr:cNvPr id="3" name="image4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525500" y="102053"/>
          <a:ext cx="2151290" cy="121783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38953"/>
  </sheetPr>
  <dimension ref="A1:AC959"/>
  <sheetViews>
    <sheetView view="pageBreakPreview" topLeftCell="A3" zoomScaleNormal="100" zoomScaleSheetLayoutView="100" workbookViewId="0">
      <pane xSplit="1" topLeftCell="G1" activePane="topRight" state="frozen"/>
      <selection activeCell="I33" sqref="I33"/>
      <selection pane="topRight" activeCell="A51" sqref="A51:XFD63"/>
    </sheetView>
  </sheetViews>
  <sheetFormatPr defaultColWidth="14.42578125" defaultRowHeight="15" customHeight="1"/>
  <cols>
    <col min="1" max="1" width="31.140625" bestFit="1" customWidth="1"/>
    <col min="2" max="3" width="6.42578125" hidden="1" customWidth="1"/>
    <col min="4" max="4" width="6" hidden="1" customWidth="1"/>
    <col min="5" max="5" width="7.42578125" hidden="1" customWidth="1"/>
    <col min="6" max="6" width="8.85546875" hidden="1" customWidth="1"/>
    <col min="7" max="7" width="8" customWidth="1"/>
    <col min="8" max="8" width="7.5703125" customWidth="1"/>
    <col min="9" max="9" width="9" bestFit="1" customWidth="1"/>
    <col min="10" max="10" width="12.7109375" customWidth="1"/>
    <col min="11" max="11" width="13.7109375" customWidth="1"/>
    <col min="12" max="12" width="22.7109375" bestFit="1" customWidth="1"/>
    <col min="13" max="13" width="6.140625" customWidth="1"/>
    <col min="14" max="14" width="9.5703125" style="35" customWidth="1"/>
    <col min="15" max="15" width="13.28515625" bestFit="1" customWidth="1"/>
    <col min="16" max="16" width="13.85546875" customWidth="1"/>
    <col min="17" max="17" width="22.28515625" bestFit="1" customWidth="1"/>
    <col min="18" max="18" width="20.28515625" customWidth="1"/>
    <col min="19" max="19" width="22.42578125" bestFit="1" customWidth="1"/>
    <col min="20" max="20" width="11.5703125" bestFit="1" customWidth="1"/>
    <col min="22" max="22" width="17" bestFit="1" customWidth="1"/>
    <col min="23" max="25" width="0" hidden="1" customWidth="1"/>
    <col min="26" max="26" width="3.42578125" customWidth="1"/>
    <col min="27" max="27" width="22.7109375" bestFit="1" customWidth="1"/>
    <col min="28" max="28" width="15.5703125" customWidth="1"/>
    <col min="29" max="29" width="22.7109375" bestFit="1" customWidth="1"/>
  </cols>
  <sheetData>
    <row r="1" spans="1:29" ht="12.75" customHeight="1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3"/>
      <c r="N1" s="4"/>
      <c r="O1" s="5"/>
      <c r="P1" s="5"/>
      <c r="Q1" s="1"/>
      <c r="R1" s="1"/>
      <c r="S1" s="1"/>
      <c r="T1" s="1"/>
      <c r="AA1" s="1"/>
      <c r="AB1" s="1"/>
    </row>
    <row r="2" spans="1:29" ht="15" customHeight="1">
      <c r="A2" s="6"/>
      <c r="B2" s="422"/>
      <c r="C2" s="422"/>
      <c r="D2" s="422"/>
      <c r="E2" s="423"/>
      <c r="F2" s="7"/>
      <c r="G2" s="428"/>
      <c r="H2" s="428"/>
      <c r="I2" s="428"/>
      <c r="J2" s="428"/>
      <c r="K2" s="428"/>
      <c r="L2" s="429"/>
      <c r="M2" s="3"/>
      <c r="N2" s="4"/>
      <c r="O2" s="5"/>
      <c r="P2" s="5"/>
      <c r="Q2" s="1"/>
      <c r="R2" s="1"/>
      <c r="S2" s="1"/>
      <c r="T2" s="1"/>
      <c r="AA2" s="1"/>
      <c r="AB2" s="1"/>
    </row>
    <row r="3" spans="1:29" ht="15" customHeight="1">
      <c r="A3" s="8"/>
      <c r="B3" s="424"/>
      <c r="C3" s="424"/>
      <c r="D3" s="424"/>
      <c r="E3" s="425"/>
      <c r="F3" s="9"/>
      <c r="G3" s="430"/>
      <c r="H3" s="430"/>
      <c r="I3" s="430"/>
      <c r="J3" s="430"/>
      <c r="K3" s="430"/>
      <c r="L3" s="431"/>
      <c r="M3" s="3"/>
      <c r="N3" s="4"/>
      <c r="O3" s="5"/>
      <c r="P3" s="5"/>
      <c r="Q3" s="1"/>
      <c r="R3" s="1"/>
      <c r="S3" s="1"/>
      <c r="T3" s="1"/>
      <c r="AA3" s="1"/>
      <c r="AB3" s="1"/>
    </row>
    <row r="4" spans="1:29" ht="15" customHeight="1">
      <c r="A4" s="8"/>
      <c r="B4" s="424"/>
      <c r="C4" s="424"/>
      <c r="D4" s="424"/>
      <c r="E4" s="425"/>
      <c r="F4" s="9"/>
      <c r="G4" s="430"/>
      <c r="H4" s="430"/>
      <c r="I4" s="430"/>
      <c r="J4" s="430"/>
      <c r="K4" s="430"/>
      <c r="L4" s="431"/>
      <c r="M4" s="3"/>
      <c r="N4" s="4"/>
      <c r="O4" s="5"/>
      <c r="P4" s="5"/>
      <c r="Q4" s="1"/>
      <c r="R4" s="1"/>
      <c r="S4" s="1"/>
      <c r="T4" s="1"/>
      <c r="AA4" s="1"/>
      <c r="AB4" s="1"/>
    </row>
    <row r="5" spans="1:29" ht="45">
      <c r="A5" s="10"/>
      <c r="B5" s="424"/>
      <c r="C5" s="424"/>
      <c r="D5" s="424"/>
      <c r="E5" s="425"/>
      <c r="F5" s="9"/>
      <c r="G5" s="430"/>
      <c r="H5" s="430"/>
      <c r="I5" s="430"/>
      <c r="J5" s="430"/>
      <c r="K5" s="430"/>
      <c r="L5" s="431"/>
      <c r="M5" s="3"/>
      <c r="N5" s="4"/>
      <c r="O5" s="5"/>
      <c r="P5" s="5"/>
      <c r="Q5" s="1"/>
      <c r="R5" s="1"/>
      <c r="S5" s="1"/>
      <c r="T5" s="1"/>
      <c r="AA5" s="1"/>
      <c r="AB5" s="1"/>
    </row>
    <row r="6" spans="1:29" ht="18.75" customHeight="1">
      <c r="A6" s="10"/>
      <c r="B6" s="424"/>
      <c r="C6" s="424"/>
      <c r="D6" s="424"/>
      <c r="E6" s="425"/>
      <c r="F6" s="11"/>
      <c r="G6" s="430"/>
      <c r="H6" s="430"/>
      <c r="I6" s="430"/>
      <c r="J6" s="430"/>
      <c r="K6" s="430"/>
      <c r="L6" s="431"/>
      <c r="M6" s="3"/>
      <c r="N6" s="4"/>
      <c r="O6" s="5"/>
      <c r="P6" s="5"/>
      <c r="Q6" s="1"/>
      <c r="R6" s="1"/>
      <c r="S6" s="1"/>
      <c r="T6" s="1"/>
      <c r="AA6" s="1"/>
      <c r="AB6" s="1"/>
    </row>
    <row r="7" spans="1:29" ht="19.5" customHeight="1" thickBot="1">
      <c r="A7" s="10"/>
      <c r="B7" s="426"/>
      <c r="C7" s="426"/>
      <c r="D7" s="426"/>
      <c r="E7" s="427"/>
      <c r="F7" s="12"/>
      <c r="G7" s="432"/>
      <c r="H7" s="432"/>
      <c r="I7" s="432"/>
      <c r="J7" s="432"/>
      <c r="K7" s="432"/>
      <c r="L7" s="433"/>
      <c r="M7" s="3"/>
      <c r="N7" s="4"/>
      <c r="O7" s="5"/>
      <c r="P7" s="5"/>
      <c r="Q7" s="1"/>
      <c r="R7" s="1"/>
      <c r="S7" s="1"/>
      <c r="T7" s="1"/>
      <c r="AA7" s="1"/>
      <c r="AB7" s="1"/>
    </row>
    <row r="8" spans="1:29" ht="21.75" thickBot="1">
      <c r="A8" s="13" t="s">
        <v>0</v>
      </c>
      <c r="B8" s="14"/>
      <c r="C8" s="14"/>
      <c r="D8" s="14"/>
      <c r="E8" s="14"/>
      <c r="F8" s="14"/>
      <c r="G8" s="434" t="s">
        <v>1</v>
      </c>
      <c r="H8" s="435"/>
      <c r="I8" s="435"/>
      <c r="J8" s="435"/>
      <c r="K8" s="435"/>
      <c r="L8" s="435"/>
      <c r="M8" s="3"/>
      <c r="N8" s="4"/>
      <c r="O8" s="5"/>
      <c r="P8" s="5"/>
      <c r="Q8" s="1"/>
      <c r="R8" s="1"/>
      <c r="S8" s="1"/>
      <c r="T8" s="1"/>
      <c r="AA8" s="15"/>
      <c r="AB8" s="1"/>
    </row>
    <row r="9" spans="1:29" ht="63">
      <c r="A9" s="16" t="s">
        <v>2</v>
      </c>
      <c r="B9" s="17"/>
      <c r="C9" s="17"/>
      <c r="D9" s="17"/>
      <c r="E9" s="18"/>
      <c r="F9" s="19"/>
      <c r="G9" s="436" t="s">
        <v>3</v>
      </c>
      <c r="H9" s="20" t="s">
        <v>4</v>
      </c>
      <c r="I9" s="20" t="s">
        <v>4</v>
      </c>
      <c r="J9" s="21" t="s">
        <v>5</v>
      </c>
      <c r="K9" s="22" t="s">
        <v>6</v>
      </c>
      <c r="L9" s="23" t="s">
        <v>7</v>
      </c>
      <c r="M9" s="3"/>
      <c r="N9" s="24"/>
      <c r="O9" s="24"/>
      <c r="P9" s="24"/>
      <c r="Q9" s="1"/>
      <c r="R9" s="1"/>
      <c r="S9" s="25"/>
      <c r="T9" s="25"/>
      <c r="U9" s="26"/>
      <c r="V9" s="26"/>
      <c r="AA9" s="25"/>
      <c r="AB9" s="25"/>
      <c r="AC9" s="26"/>
    </row>
    <row r="10" spans="1:29" ht="21.75" thickBot="1">
      <c r="A10" s="27" t="s">
        <v>8</v>
      </c>
      <c r="B10" s="28"/>
      <c r="C10" s="28"/>
      <c r="D10" s="28"/>
      <c r="E10" s="28"/>
      <c r="F10" s="29"/>
      <c r="G10" s="437"/>
      <c r="H10" s="30" t="s">
        <v>9</v>
      </c>
      <c r="I10" s="30" t="s">
        <v>7</v>
      </c>
      <c r="J10" s="31" t="s">
        <v>9</v>
      </c>
      <c r="K10" s="32">
        <v>4.7800000000000002E-2</v>
      </c>
      <c r="L10" s="33" t="s">
        <v>10</v>
      </c>
      <c r="M10" s="34"/>
      <c r="N10" s="36"/>
      <c r="O10" s="36"/>
      <c r="P10" s="36"/>
      <c r="Q10" s="37"/>
      <c r="R10" s="37"/>
      <c r="S10" s="38"/>
      <c r="T10" s="39"/>
      <c r="U10" s="40"/>
      <c r="V10" s="41"/>
      <c r="AA10" s="38"/>
      <c r="AB10" s="42"/>
      <c r="AC10" s="26"/>
    </row>
    <row r="11" spans="1:29" ht="18" customHeight="1">
      <c r="A11" s="43" t="s">
        <v>11</v>
      </c>
      <c r="B11" s="45"/>
      <c r="C11" s="45"/>
      <c r="D11" s="45"/>
      <c r="E11" s="45"/>
      <c r="F11" s="46"/>
      <c r="G11" s="47">
        <f t="shared" ref="G11:G46" si="0">SUM(B11:F11)</f>
        <v>0</v>
      </c>
      <c r="H11" s="48">
        <v>0.58499999999999996</v>
      </c>
      <c r="I11" s="49">
        <f t="shared" ref="I11:I46" si="1">G11*H11</f>
        <v>0</v>
      </c>
      <c r="J11" s="50">
        <v>1.64</v>
      </c>
      <c r="K11" s="51">
        <f>J11+(J11*$K$10)</f>
        <v>1.7183919999999999</v>
      </c>
      <c r="L11" s="52">
        <f>G11*K11</f>
        <v>0</v>
      </c>
      <c r="M11" s="3"/>
      <c r="N11" s="53"/>
      <c r="O11" s="53"/>
      <c r="P11" s="53"/>
      <c r="Q11" s="1"/>
      <c r="R11" s="1"/>
      <c r="S11" s="54"/>
      <c r="T11" s="55"/>
      <c r="U11" s="56"/>
      <c r="V11" s="57"/>
      <c r="AA11" s="54"/>
      <c r="AB11" s="55"/>
      <c r="AC11" s="57"/>
    </row>
    <row r="12" spans="1:29" ht="18" customHeight="1">
      <c r="A12" s="58" t="s">
        <v>12</v>
      </c>
      <c r="B12" s="45"/>
      <c r="C12" s="45"/>
      <c r="D12" s="45"/>
      <c r="E12" s="45"/>
      <c r="F12" s="46"/>
      <c r="G12" s="47">
        <f t="shared" si="0"/>
        <v>0</v>
      </c>
      <c r="H12" s="59">
        <v>0.91500000000000004</v>
      </c>
      <c r="I12" s="60">
        <f>G12*H12</f>
        <v>0</v>
      </c>
      <c r="J12" s="61">
        <v>2.4700000000000002</v>
      </c>
      <c r="K12" s="51">
        <f t="shared" ref="K12:K46" si="2">J12+(J12*$K$10)</f>
        <v>2.5880660000000004</v>
      </c>
      <c r="L12" s="52">
        <f t="shared" ref="L12:L46" si="3">G12*K12</f>
        <v>0</v>
      </c>
      <c r="M12" s="3"/>
      <c r="N12" s="53"/>
      <c r="O12" s="53"/>
      <c r="P12" s="53"/>
      <c r="Q12" s="1"/>
      <c r="R12" s="1"/>
      <c r="S12" s="54"/>
      <c r="T12" s="55"/>
      <c r="U12" s="56"/>
      <c r="V12" s="57"/>
      <c r="AA12" s="54"/>
      <c r="AB12" s="55"/>
      <c r="AC12" s="57"/>
    </row>
    <row r="13" spans="1:29" ht="18" customHeight="1">
      <c r="A13" s="62" t="s">
        <v>13</v>
      </c>
      <c r="B13" s="45"/>
      <c r="C13" s="45"/>
      <c r="D13" s="45"/>
      <c r="E13" s="45"/>
      <c r="F13" s="46"/>
      <c r="G13" s="47">
        <f t="shared" si="0"/>
        <v>0</v>
      </c>
      <c r="H13" s="59">
        <v>0</v>
      </c>
      <c r="I13" s="60">
        <f>G13*H13</f>
        <v>0</v>
      </c>
      <c r="J13" s="61">
        <v>8.65</v>
      </c>
      <c r="K13" s="51">
        <f t="shared" si="2"/>
        <v>9.0634700000000006</v>
      </c>
      <c r="L13" s="52">
        <f t="shared" si="3"/>
        <v>0</v>
      </c>
      <c r="M13" s="3"/>
      <c r="N13" s="53"/>
      <c r="O13" s="53"/>
      <c r="P13" s="53"/>
      <c r="Q13" s="1"/>
      <c r="R13" s="1"/>
      <c r="S13" s="54"/>
      <c r="T13" s="55"/>
      <c r="U13" s="56"/>
      <c r="V13" s="57"/>
      <c r="AA13" s="54"/>
      <c r="AB13" s="55"/>
      <c r="AC13" s="57"/>
    </row>
    <row r="14" spans="1:29" ht="18" customHeight="1">
      <c r="A14" s="63" t="s">
        <v>14</v>
      </c>
      <c r="B14" s="45"/>
      <c r="C14" s="45"/>
      <c r="D14" s="45"/>
      <c r="E14" s="45"/>
      <c r="F14" s="46"/>
      <c r="G14" s="47">
        <f t="shared" si="0"/>
        <v>0</v>
      </c>
      <c r="H14" s="59">
        <v>0</v>
      </c>
      <c r="I14" s="60">
        <f>G14*H14</f>
        <v>0</v>
      </c>
      <c r="J14" s="61">
        <v>8.68</v>
      </c>
      <c r="K14" s="51">
        <f t="shared" si="2"/>
        <v>9.0949039999999997</v>
      </c>
      <c r="L14" s="52">
        <f t="shared" si="3"/>
        <v>0</v>
      </c>
      <c r="M14" s="3"/>
      <c r="N14" s="53"/>
      <c r="O14" s="53"/>
      <c r="P14" s="53"/>
      <c r="Q14" s="1"/>
      <c r="R14" s="1"/>
      <c r="S14" s="54"/>
      <c r="T14" s="55"/>
      <c r="U14" s="56"/>
      <c r="V14" s="57"/>
      <c r="AA14" s="54"/>
      <c r="AB14" s="55"/>
      <c r="AC14" s="57"/>
    </row>
    <row r="15" spans="1:29" ht="18" customHeight="1">
      <c r="A15" s="62" t="s">
        <v>15</v>
      </c>
      <c r="B15" s="45"/>
      <c r="C15" s="45"/>
      <c r="D15" s="45"/>
      <c r="E15" s="64"/>
      <c r="F15" s="46"/>
      <c r="G15" s="47">
        <f t="shared" si="0"/>
        <v>0</v>
      </c>
      <c r="H15" s="59">
        <v>0.52500000000000002</v>
      </c>
      <c r="I15" s="60">
        <f t="shared" si="1"/>
        <v>0</v>
      </c>
      <c r="J15" s="61">
        <v>1.41</v>
      </c>
      <c r="K15" s="51">
        <f t="shared" si="2"/>
        <v>1.477398</v>
      </c>
      <c r="L15" s="52">
        <f t="shared" si="3"/>
        <v>0</v>
      </c>
      <c r="M15" s="3"/>
      <c r="N15" s="53"/>
      <c r="O15" s="53"/>
      <c r="P15" s="53"/>
      <c r="Q15" s="1"/>
      <c r="R15" s="1"/>
      <c r="S15" s="54"/>
      <c r="T15" s="55"/>
      <c r="U15" s="56"/>
      <c r="V15" s="57"/>
      <c r="AA15" s="54"/>
      <c r="AB15" s="55"/>
      <c r="AC15" s="57"/>
    </row>
    <row r="16" spans="1:29" ht="18" customHeight="1">
      <c r="A16" s="62" t="s">
        <v>16</v>
      </c>
      <c r="B16" s="45"/>
      <c r="C16" s="45"/>
      <c r="D16" s="45"/>
      <c r="E16" s="64"/>
      <c r="F16" s="46"/>
      <c r="G16" s="47">
        <f t="shared" si="0"/>
        <v>0</v>
      </c>
      <c r="H16" s="59">
        <v>8.5999999999999993E-2</v>
      </c>
      <c r="I16" s="60">
        <f t="shared" si="1"/>
        <v>0</v>
      </c>
      <c r="J16" s="61">
        <v>0.33</v>
      </c>
      <c r="K16" s="51">
        <f t="shared" si="2"/>
        <v>0.34577400000000003</v>
      </c>
      <c r="L16" s="52">
        <f t="shared" si="3"/>
        <v>0</v>
      </c>
      <c r="M16" s="3"/>
      <c r="N16" s="53"/>
      <c r="O16" s="53"/>
      <c r="P16" s="53"/>
      <c r="Q16" s="1"/>
      <c r="R16" s="1"/>
      <c r="S16" s="54"/>
      <c r="T16" s="55"/>
      <c r="U16" s="56"/>
      <c r="V16" s="57"/>
      <c r="AA16" s="54"/>
      <c r="AB16" s="55"/>
      <c r="AC16" s="57"/>
    </row>
    <row r="17" spans="1:29" ht="18" customHeight="1">
      <c r="A17" s="62" t="s">
        <v>17</v>
      </c>
      <c r="B17" s="45"/>
      <c r="C17" s="45"/>
      <c r="D17" s="45"/>
      <c r="E17" s="64"/>
      <c r="F17" s="46"/>
      <c r="G17" s="47">
        <f t="shared" si="0"/>
        <v>0</v>
      </c>
      <c r="H17" s="59">
        <v>0</v>
      </c>
      <c r="I17" s="60">
        <f t="shared" si="1"/>
        <v>0</v>
      </c>
      <c r="J17" s="61">
        <v>3.6</v>
      </c>
      <c r="K17" s="51">
        <f t="shared" si="2"/>
        <v>3.7720799999999999</v>
      </c>
      <c r="L17" s="52">
        <f t="shared" si="3"/>
        <v>0</v>
      </c>
      <c r="M17" s="3"/>
      <c r="N17" s="53"/>
      <c r="O17" s="53"/>
      <c r="P17" s="53"/>
      <c r="Q17" s="1"/>
      <c r="R17" s="1"/>
      <c r="S17" s="54"/>
      <c r="T17" s="55"/>
      <c r="U17" s="56"/>
      <c r="V17" s="57"/>
      <c r="AA17" s="54"/>
      <c r="AB17" s="55"/>
      <c r="AC17" s="57"/>
    </row>
    <row r="18" spans="1:29" ht="18" customHeight="1">
      <c r="A18" s="58" t="s">
        <v>18</v>
      </c>
      <c r="B18" s="45"/>
      <c r="C18" s="45"/>
      <c r="D18" s="45"/>
      <c r="E18" s="64"/>
      <c r="F18" s="46"/>
      <c r="G18" s="47">
        <f t="shared" si="0"/>
        <v>0</v>
      </c>
      <c r="H18" s="59">
        <v>0.20799999999999999</v>
      </c>
      <c r="I18" s="60">
        <f t="shared" si="1"/>
        <v>0</v>
      </c>
      <c r="J18" s="66">
        <v>0.62</v>
      </c>
      <c r="K18" s="51">
        <f t="shared" si="2"/>
        <v>0.64963599999999999</v>
      </c>
      <c r="L18" s="52">
        <f t="shared" si="3"/>
        <v>0</v>
      </c>
      <c r="M18" s="3"/>
      <c r="N18" s="53"/>
      <c r="O18" s="53"/>
      <c r="P18" s="53"/>
      <c r="Q18" s="1"/>
      <c r="R18" s="1"/>
      <c r="S18" s="54"/>
      <c r="T18" s="55"/>
      <c r="U18" s="56"/>
      <c r="V18" s="57"/>
      <c r="AA18" s="54"/>
      <c r="AB18" s="55"/>
      <c r="AC18" s="57"/>
    </row>
    <row r="19" spans="1:29" ht="18" customHeight="1">
      <c r="A19" s="62" t="s">
        <v>19</v>
      </c>
      <c r="B19" s="45"/>
      <c r="C19" s="45"/>
      <c r="D19" s="45"/>
      <c r="E19" s="45"/>
      <c r="F19" s="46"/>
      <c r="G19" s="47">
        <f t="shared" si="0"/>
        <v>0</v>
      </c>
      <c r="H19" s="59">
        <v>0.20499999999999999</v>
      </c>
      <c r="I19" s="60">
        <f t="shared" si="1"/>
        <v>0</v>
      </c>
      <c r="J19" s="66">
        <v>0.74</v>
      </c>
      <c r="K19" s="51">
        <f t="shared" si="2"/>
        <v>0.77537199999999995</v>
      </c>
      <c r="L19" s="52">
        <f t="shared" si="3"/>
        <v>0</v>
      </c>
      <c r="M19" s="3"/>
      <c r="N19" s="53"/>
      <c r="O19" s="53"/>
      <c r="P19" s="53"/>
      <c r="Q19" s="1"/>
      <c r="R19" s="1"/>
      <c r="S19" s="54"/>
      <c r="T19" s="55"/>
      <c r="U19" s="56"/>
      <c r="V19" s="57"/>
      <c r="AA19" s="54"/>
      <c r="AB19" s="55"/>
      <c r="AC19" s="57"/>
    </row>
    <row r="20" spans="1:29" ht="18" customHeight="1">
      <c r="A20" s="67" t="s">
        <v>20</v>
      </c>
      <c r="B20" s="45"/>
      <c r="C20" s="45"/>
      <c r="D20" s="45"/>
      <c r="E20" s="45"/>
      <c r="F20" s="68"/>
      <c r="G20" s="47">
        <f t="shared" si="0"/>
        <v>0</v>
      </c>
      <c r="H20" s="69">
        <v>0.5</v>
      </c>
      <c r="I20" s="70">
        <f>G20*H20</f>
        <v>0</v>
      </c>
      <c r="J20" s="71">
        <v>2.56</v>
      </c>
      <c r="K20" s="51">
        <f t="shared" si="2"/>
        <v>2.6823679999999999</v>
      </c>
      <c r="L20" s="52">
        <f t="shared" si="3"/>
        <v>0</v>
      </c>
      <c r="M20" s="3"/>
      <c r="N20" s="53"/>
      <c r="O20" s="53"/>
      <c r="P20" s="53"/>
      <c r="Q20" s="1"/>
      <c r="R20" s="1"/>
      <c r="S20" s="54"/>
      <c r="T20" s="55"/>
      <c r="U20" s="56"/>
      <c r="V20" s="57"/>
      <c r="AA20" s="54"/>
      <c r="AB20" s="55"/>
      <c r="AC20" s="57"/>
    </row>
    <row r="21" spans="1:29" ht="18" customHeight="1">
      <c r="A21" s="67" t="s">
        <v>21</v>
      </c>
      <c r="B21" s="45"/>
      <c r="C21" s="45"/>
      <c r="D21" s="45"/>
      <c r="E21" s="45"/>
      <c r="F21" s="68"/>
      <c r="G21" s="47">
        <f t="shared" si="0"/>
        <v>0</v>
      </c>
      <c r="H21" s="69">
        <v>0</v>
      </c>
      <c r="I21" s="70">
        <f>G21*H21</f>
        <v>0</v>
      </c>
      <c r="J21" s="71">
        <v>0.62</v>
      </c>
      <c r="K21" s="51">
        <f t="shared" si="2"/>
        <v>0.64963599999999999</v>
      </c>
      <c r="L21" s="52">
        <f t="shared" si="3"/>
        <v>0</v>
      </c>
      <c r="M21" s="3"/>
      <c r="N21" s="53"/>
      <c r="O21" s="53"/>
      <c r="P21" s="53"/>
      <c r="Q21" s="1"/>
      <c r="R21" s="1"/>
      <c r="S21" s="54"/>
      <c r="T21" s="55"/>
      <c r="U21" s="56"/>
      <c r="V21" s="57"/>
      <c r="AA21" s="54"/>
      <c r="AB21" s="55"/>
      <c r="AC21" s="57"/>
    </row>
    <row r="22" spans="1:29" ht="18" customHeight="1">
      <c r="A22" s="67" t="s">
        <v>22</v>
      </c>
      <c r="B22" s="45"/>
      <c r="C22" s="45"/>
      <c r="D22" s="45"/>
      <c r="E22" s="45"/>
      <c r="F22" s="68"/>
      <c r="G22" s="47">
        <f t="shared" si="0"/>
        <v>0</v>
      </c>
      <c r="H22" s="69">
        <v>0</v>
      </c>
      <c r="I22" s="70">
        <f>G22*H22</f>
        <v>0</v>
      </c>
      <c r="J22" s="71">
        <v>6.25</v>
      </c>
      <c r="K22" s="51">
        <f t="shared" si="2"/>
        <v>6.5487500000000001</v>
      </c>
      <c r="L22" s="52">
        <f t="shared" si="3"/>
        <v>0</v>
      </c>
      <c r="M22" s="3"/>
      <c r="N22" s="53"/>
      <c r="O22" s="53"/>
      <c r="P22" s="53"/>
      <c r="Q22" s="1"/>
      <c r="R22" s="1"/>
      <c r="S22" s="54"/>
      <c r="T22" s="55"/>
      <c r="U22" s="56"/>
      <c r="V22" s="57"/>
      <c r="AA22" s="54"/>
      <c r="AB22" s="55"/>
      <c r="AC22" s="57"/>
    </row>
    <row r="23" spans="1:29" ht="18" customHeight="1">
      <c r="A23" s="58" t="s">
        <v>23</v>
      </c>
      <c r="B23" s="45"/>
      <c r="C23" s="45"/>
      <c r="D23" s="45"/>
      <c r="E23" s="45"/>
      <c r="F23" s="68"/>
      <c r="G23" s="47">
        <f t="shared" si="0"/>
        <v>0</v>
      </c>
      <c r="H23" s="72">
        <v>0.5</v>
      </c>
      <c r="I23" s="60">
        <f t="shared" si="1"/>
        <v>0</v>
      </c>
      <c r="J23" s="66">
        <v>1.37</v>
      </c>
      <c r="K23" s="51">
        <f t="shared" si="2"/>
        <v>1.435486</v>
      </c>
      <c r="L23" s="52">
        <f t="shared" si="3"/>
        <v>0</v>
      </c>
      <c r="M23" s="3"/>
      <c r="N23" s="53"/>
      <c r="O23" s="53"/>
      <c r="P23" s="53"/>
      <c r="Q23" s="1"/>
      <c r="R23" s="1"/>
      <c r="S23" s="54"/>
      <c r="T23" s="55"/>
      <c r="U23" s="56"/>
      <c r="V23" s="57"/>
      <c r="AA23" s="54"/>
      <c r="AB23" s="55"/>
      <c r="AC23" s="57"/>
    </row>
    <row r="24" spans="1:29" ht="18" customHeight="1">
      <c r="A24" s="58" t="s">
        <v>24</v>
      </c>
      <c r="B24" s="45"/>
      <c r="C24" s="45"/>
      <c r="D24" s="45"/>
      <c r="E24" s="45"/>
      <c r="F24" s="68"/>
      <c r="G24" s="47">
        <f t="shared" si="0"/>
        <v>0</v>
      </c>
      <c r="H24" s="72">
        <v>1.2</v>
      </c>
      <c r="I24" s="60">
        <f t="shared" si="1"/>
        <v>0</v>
      </c>
      <c r="J24" s="66">
        <v>4.9800000000000004</v>
      </c>
      <c r="K24" s="51">
        <f t="shared" si="2"/>
        <v>5.2180440000000008</v>
      </c>
      <c r="L24" s="52">
        <f t="shared" si="3"/>
        <v>0</v>
      </c>
      <c r="M24" s="3"/>
      <c r="N24" s="53"/>
      <c r="O24" s="53"/>
      <c r="P24" s="53"/>
      <c r="Q24" s="1"/>
      <c r="R24" s="1"/>
      <c r="S24" s="54"/>
      <c r="T24" s="55"/>
      <c r="U24" s="56"/>
      <c r="V24" s="57"/>
      <c r="AA24" s="54"/>
      <c r="AB24" s="55"/>
      <c r="AC24" s="57"/>
    </row>
    <row r="25" spans="1:29" ht="18" customHeight="1">
      <c r="A25" s="58" t="s">
        <v>25</v>
      </c>
      <c r="B25" s="45"/>
      <c r="C25" s="45"/>
      <c r="D25" s="45"/>
      <c r="E25" s="45"/>
      <c r="F25" s="68"/>
      <c r="G25" s="47">
        <f t="shared" si="0"/>
        <v>0</v>
      </c>
      <c r="H25" s="72">
        <v>1.6</v>
      </c>
      <c r="I25" s="60">
        <f t="shared" si="1"/>
        <v>0</v>
      </c>
      <c r="J25" s="66">
        <v>5.37</v>
      </c>
      <c r="K25" s="51">
        <f t="shared" si="2"/>
        <v>5.6266860000000003</v>
      </c>
      <c r="L25" s="52">
        <f t="shared" si="3"/>
        <v>0</v>
      </c>
      <c r="M25" s="3"/>
      <c r="N25" s="53"/>
      <c r="O25" s="53"/>
      <c r="P25" s="53"/>
      <c r="Q25" s="1"/>
      <c r="R25" s="1"/>
      <c r="S25" s="54"/>
      <c r="T25" s="55"/>
      <c r="U25" s="56"/>
      <c r="V25" s="57"/>
      <c r="AA25" s="54"/>
      <c r="AB25" s="55"/>
      <c r="AC25" s="57"/>
    </row>
    <row r="26" spans="1:29" ht="18" customHeight="1">
      <c r="A26" s="58" t="s">
        <v>26</v>
      </c>
      <c r="B26" s="45"/>
      <c r="C26" s="45"/>
      <c r="D26" s="45"/>
      <c r="E26" s="45"/>
      <c r="F26" s="68"/>
      <c r="G26" s="47">
        <f t="shared" si="0"/>
        <v>0</v>
      </c>
      <c r="H26" s="72">
        <v>1.9</v>
      </c>
      <c r="I26" s="60">
        <f>G26*H26</f>
        <v>0</v>
      </c>
      <c r="J26" s="66">
        <v>6.93</v>
      </c>
      <c r="K26" s="51">
        <f t="shared" si="2"/>
        <v>7.2612540000000001</v>
      </c>
      <c r="L26" s="52">
        <f t="shared" si="3"/>
        <v>0</v>
      </c>
      <c r="M26" s="3"/>
      <c r="N26" s="53"/>
      <c r="O26" s="53"/>
      <c r="P26" s="53"/>
      <c r="Q26" s="1"/>
      <c r="R26" s="1"/>
      <c r="S26" s="54"/>
      <c r="T26" s="55"/>
      <c r="U26" s="56"/>
      <c r="V26" s="57"/>
      <c r="AA26" s="54"/>
      <c r="AB26" s="55"/>
      <c r="AC26" s="57"/>
    </row>
    <row r="27" spans="1:29" ht="18" customHeight="1">
      <c r="A27" s="58" t="s">
        <v>27</v>
      </c>
      <c r="B27" s="45"/>
      <c r="C27" s="45"/>
      <c r="D27" s="45"/>
      <c r="E27" s="45"/>
      <c r="F27" s="68"/>
      <c r="G27" s="47">
        <f t="shared" si="0"/>
        <v>0</v>
      </c>
      <c r="H27" s="72">
        <v>2.4</v>
      </c>
      <c r="I27" s="60">
        <f>G27*H27</f>
        <v>0</v>
      </c>
      <c r="J27" s="66">
        <v>6.77</v>
      </c>
      <c r="K27" s="51">
        <f t="shared" si="2"/>
        <v>7.0936059999999994</v>
      </c>
      <c r="L27" s="52">
        <f t="shared" si="3"/>
        <v>0</v>
      </c>
      <c r="M27" s="3"/>
      <c r="N27" s="53"/>
      <c r="O27" s="53"/>
      <c r="P27" s="53"/>
      <c r="Q27" s="1"/>
      <c r="R27" s="1"/>
      <c r="S27" s="54"/>
      <c r="T27" s="55"/>
      <c r="U27" s="56"/>
      <c r="V27" s="57"/>
      <c r="AA27" s="54"/>
      <c r="AB27" s="55"/>
      <c r="AC27" s="57"/>
    </row>
    <row r="28" spans="1:29" ht="18" customHeight="1">
      <c r="A28" s="58" t="s">
        <v>28</v>
      </c>
      <c r="B28" s="45"/>
      <c r="C28" s="45"/>
      <c r="D28" s="45"/>
      <c r="E28" s="45"/>
      <c r="F28" s="68"/>
      <c r="G28" s="47">
        <f t="shared" si="0"/>
        <v>0</v>
      </c>
      <c r="H28" s="72">
        <v>1.145</v>
      </c>
      <c r="I28" s="60">
        <f t="shared" si="1"/>
        <v>0</v>
      </c>
      <c r="J28" s="66">
        <v>4.3099999999999996</v>
      </c>
      <c r="K28" s="51">
        <f t="shared" si="2"/>
        <v>4.5160179999999999</v>
      </c>
      <c r="L28" s="52">
        <f t="shared" si="3"/>
        <v>0</v>
      </c>
      <c r="M28" s="3"/>
      <c r="N28" s="53"/>
      <c r="O28" s="53"/>
      <c r="P28" s="53"/>
      <c r="Q28" s="1"/>
      <c r="R28" s="1"/>
      <c r="S28" s="54"/>
      <c r="T28" s="55"/>
      <c r="U28" s="56"/>
      <c r="V28" s="57"/>
      <c r="AA28" s="54"/>
      <c r="AB28" s="55"/>
      <c r="AC28" s="57"/>
    </row>
    <row r="29" spans="1:29" ht="18" customHeight="1">
      <c r="A29" s="58" t="s">
        <v>29</v>
      </c>
      <c r="B29" s="45"/>
      <c r="C29" s="45"/>
      <c r="D29" s="45"/>
      <c r="E29" s="45"/>
      <c r="F29" s="68"/>
      <c r="G29" s="47">
        <f t="shared" si="0"/>
        <v>0</v>
      </c>
      <c r="H29" s="72">
        <v>1.395</v>
      </c>
      <c r="I29" s="60">
        <f t="shared" si="1"/>
        <v>0</v>
      </c>
      <c r="J29" s="66">
        <v>5.71</v>
      </c>
      <c r="K29" s="51">
        <f t="shared" si="2"/>
        <v>5.9829379999999999</v>
      </c>
      <c r="L29" s="52">
        <f t="shared" si="3"/>
        <v>0</v>
      </c>
      <c r="M29" s="3"/>
      <c r="N29" s="53"/>
      <c r="O29" s="53"/>
      <c r="P29" s="53"/>
      <c r="Q29" s="1"/>
      <c r="R29" s="1"/>
      <c r="S29" s="54"/>
      <c r="T29" s="55"/>
      <c r="U29" s="56"/>
      <c r="V29" s="57"/>
      <c r="AA29" s="54"/>
      <c r="AB29" s="55"/>
      <c r="AC29" s="57"/>
    </row>
    <row r="30" spans="1:29" ht="18" customHeight="1">
      <c r="A30" s="58" t="s">
        <v>30</v>
      </c>
      <c r="B30" s="45"/>
      <c r="C30" s="45"/>
      <c r="D30" s="45"/>
      <c r="E30" s="45"/>
      <c r="F30" s="68"/>
      <c r="G30" s="47">
        <f t="shared" si="0"/>
        <v>0</v>
      </c>
      <c r="H30" s="72">
        <v>0.1</v>
      </c>
      <c r="I30" s="60">
        <f t="shared" si="1"/>
        <v>0</v>
      </c>
      <c r="J30" s="66">
        <v>0.67</v>
      </c>
      <c r="K30" s="51">
        <f t="shared" si="2"/>
        <v>0.70202600000000004</v>
      </c>
      <c r="L30" s="52">
        <f t="shared" si="3"/>
        <v>0</v>
      </c>
      <c r="M30" s="3"/>
      <c r="N30" s="53"/>
      <c r="O30" s="53"/>
      <c r="P30" s="53"/>
      <c r="Q30" s="1"/>
      <c r="R30" s="1"/>
      <c r="S30" s="54"/>
      <c r="T30" s="55"/>
      <c r="U30" s="56"/>
      <c r="V30" s="57"/>
      <c r="AA30" s="54"/>
      <c r="AB30" s="55"/>
      <c r="AC30" s="57"/>
    </row>
    <row r="31" spans="1:29" ht="18" customHeight="1">
      <c r="A31" s="62" t="s">
        <v>31</v>
      </c>
      <c r="B31" s="45"/>
      <c r="C31" s="45"/>
      <c r="D31" s="45"/>
      <c r="E31" s="45"/>
      <c r="F31" s="68"/>
      <c r="G31" s="47">
        <f t="shared" si="0"/>
        <v>0</v>
      </c>
      <c r="H31" s="72">
        <v>0</v>
      </c>
      <c r="I31" s="60">
        <f t="shared" si="1"/>
        <v>0</v>
      </c>
      <c r="J31" s="66">
        <v>5.78</v>
      </c>
      <c r="K31" s="51">
        <f t="shared" si="2"/>
        <v>6.0562840000000007</v>
      </c>
      <c r="L31" s="52">
        <f t="shared" si="3"/>
        <v>0</v>
      </c>
      <c r="M31" s="3"/>
      <c r="N31" s="53"/>
      <c r="O31" s="53"/>
      <c r="P31" s="53"/>
      <c r="Q31" s="1"/>
      <c r="R31" s="1"/>
      <c r="S31" s="54"/>
      <c r="T31" s="55"/>
      <c r="U31" s="56"/>
      <c r="V31" s="57"/>
      <c r="AA31" s="54"/>
      <c r="AB31" s="55"/>
      <c r="AC31" s="57"/>
    </row>
    <row r="32" spans="1:29" ht="18" customHeight="1">
      <c r="A32" s="58" t="s">
        <v>32</v>
      </c>
      <c r="B32" s="45"/>
      <c r="C32" s="45"/>
      <c r="D32" s="45"/>
      <c r="E32" s="45"/>
      <c r="F32" s="68"/>
      <c r="G32" s="47">
        <f t="shared" si="0"/>
        <v>0</v>
      </c>
      <c r="H32" s="72">
        <v>1.2</v>
      </c>
      <c r="I32" s="60">
        <f t="shared" si="1"/>
        <v>0</v>
      </c>
      <c r="J32" s="66">
        <v>3.53</v>
      </c>
      <c r="K32" s="51">
        <f t="shared" si="2"/>
        <v>3.698734</v>
      </c>
      <c r="L32" s="52">
        <f t="shared" si="3"/>
        <v>0</v>
      </c>
      <c r="M32" s="3"/>
      <c r="N32" s="53"/>
      <c r="O32" s="53"/>
      <c r="P32" s="53"/>
      <c r="Q32" s="1"/>
      <c r="R32" s="1"/>
      <c r="S32" s="54"/>
      <c r="T32" s="55"/>
      <c r="U32" s="56"/>
      <c r="V32" s="57"/>
      <c r="AA32" s="54"/>
      <c r="AB32" s="55"/>
      <c r="AC32" s="57"/>
    </row>
    <row r="33" spans="1:29" ht="18" customHeight="1">
      <c r="A33" s="58" t="s">
        <v>33</v>
      </c>
      <c r="B33" s="45"/>
      <c r="C33" s="45"/>
      <c r="D33" s="45"/>
      <c r="E33" s="45"/>
      <c r="F33" s="68"/>
      <c r="G33" s="47">
        <f t="shared" si="0"/>
        <v>0</v>
      </c>
      <c r="H33" s="72">
        <v>1.4</v>
      </c>
      <c r="I33" s="60">
        <f t="shared" si="1"/>
        <v>0</v>
      </c>
      <c r="J33" s="66">
        <v>4.9400000000000004</v>
      </c>
      <c r="K33" s="51">
        <f t="shared" si="2"/>
        <v>5.1761320000000008</v>
      </c>
      <c r="L33" s="52">
        <f t="shared" si="3"/>
        <v>0</v>
      </c>
      <c r="M33" s="3"/>
      <c r="N33" s="53"/>
      <c r="O33" s="53"/>
      <c r="P33" s="53"/>
      <c r="Q33" s="1"/>
      <c r="R33" s="1"/>
      <c r="S33" s="54"/>
      <c r="T33" s="55"/>
      <c r="U33" s="56"/>
      <c r="V33" s="57"/>
      <c r="AA33" s="54"/>
      <c r="AB33" s="55"/>
      <c r="AC33" s="57"/>
    </row>
    <row r="34" spans="1:29" ht="18" customHeight="1">
      <c r="A34" s="58" t="s">
        <v>34</v>
      </c>
      <c r="B34" s="45"/>
      <c r="C34" s="45"/>
      <c r="D34" s="45"/>
      <c r="E34" s="45"/>
      <c r="F34" s="68"/>
      <c r="G34" s="47">
        <f t="shared" si="0"/>
        <v>0</v>
      </c>
      <c r="H34" s="72">
        <v>0.15</v>
      </c>
      <c r="I34" s="60">
        <f t="shared" si="1"/>
        <v>0</v>
      </c>
      <c r="J34" s="66">
        <v>0.83</v>
      </c>
      <c r="K34" s="51">
        <f t="shared" si="2"/>
        <v>0.86967399999999995</v>
      </c>
      <c r="L34" s="52">
        <f t="shared" si="3"/>
        <v>0</v>
      </c>
      <c r="M34" s="3"/>
      <c r="N34" s="53"/>
      <c r="O34" s="53"/>
      <c r="P34" s="53"/>
      <c r="Q34" s="1"/>
      <c r="R34" s="1"/>
      <c r="S34" s="54"/>
      <c r="T34" s="55"/>
      <c r="U34" s="56"/>
      <c r="V34" s="57"/>
      <c r="AA34" s="54"/>
      <c r="AB34" s="55"/>
      <c r="AC34" s="57"/>
    </row>
    <row r="35" spans="1:29" ht="18" customHeight="1">
      <c r="A35" s="58" t="s">
        <v>35</v>
      </c>
      <c r="B35" s="45"/>
      <c r="C35" s="45"/>
      <c r="D35" s="45"/>
      <c r="E35" s="45"/>
      <c r="F35" s="68"/>
      <c r="G35" s="47">
        <f t="shared" si="0"/>
        <v>0</v>
      </c>
      <c r="H35" s="72">
        <v>0.08</v>
      </c>
      <c r="I35" s="60">
        <f t="shared" si="1"/>
        <v>0</v>
      </c>
      <c r="J35" s="66">
        <v>0.33</v>
      </c>
      <c r="K35" s="51">
        <f t="shared" si="2"/>
        <v>0.34577400000000003</v>
      </c>
      <c r="L35" s="52">
        <f t="shared" si="3"/>
        <v>0</v>
      </c>
      <c r="M35" s="3"/>
      <c r="N35" s="53"/>
      <c r="O35" s="53"/>
      <c r="P35" s="53"/>
      <c r="Q35" s="1"/>
      <c r="R35" s="1"/>
      <c r="S35" s="54"/>
      <c r="T35" s="55"/>
      <c r="U35" s="56"/>
      <c r="V35" s="57"/>
      <c r="AA35" s="54"/>
      <c r="AB35" s="55"/>
      <c r="AC35" s="57"/>
    </row>
    <row r="36" spans="1:29" ht="18" customHeight="1">
      <c r="A36" s="58" t="s">
        <v>36</v>
      </c>
      <c r="B36" s="45"/>
      <c r="C36" s="45"/>
      <c r="D36" s="45"/>
      <c r="E36" s="45"/>
      <c r="F36" s="68"/>
      <c r="G36" s="47">
        <f t="shared" si="0"/>
        <v>0</v>
      </c>
      <c r="H36" s="72">
        <v>1.24</v>
      </c>
      <c r="I36" s="60">
        <f t="shared" si="1"/>
        <v>0</v>
      </c>
      <c r="J36" s="66">
        <v>5.3</v>
      </c>
      <c r="K36" s="51">
        <f t="shared" si="2"/>
        <v>5.5533399999999995</v>
      </c>
      <c r="L36" s="52">
        <f t="shared" si="3"/>
        <v>0</v>
      </c>
      <c r="M36" s="3"/>
      <c r="N36" s="53"/>
      <c r="O36" s="53"/>
      <c r="P36" s="53"/>
      <c r="Q36" s="1"/>
      <c r="R36" s="1"/>
      <c r="S36" s="54"/>
      <c r="T36" s="55"/>
      <c r="U36" s="56"/>
      <c r="V36" s="57"/>
      <c r="AA36" s="54"/>
      <c r="AB36" s="55"/>
      <c r="AC36" s="57"/>
    </row>
    <row r="37" spans="1:29" ht="18" customHeight="1">
      <c r="A37" s="58" t="s">
        <v>37</v>
      </c>
      <c r="B37" s="45"/>
      <c r="C37" s="45"/>
      <c r="D37" s="45"/>
      <c r="E37" s="45"/>
      <c r="F37" s="68"/>
      <c r="G37" s="47">
        <f t="shared" si="0"/>
        <v>0</v>
      </c>
      <c r="H37" s="72">
        <v>1.9</v>
      </c>
      <c r="I37" s="60">
        <f t="shared" si="1"/>
        <v>0</v>
      </c>
      <c r="J37" s="66">
        <v>6.25</v>
      </c>
      <c r="K37" s="51">
        <f t="shared" si="2"/>
        <v>6.5487500000000001</v>
      </c>
      <c r="L37" s="52">
        <f t="shared" si="3"/>
        <v>0</v>
      </c>
      <c r="M37" s="3"/>
      <c r="N37" s="53"/>
      <c r="O37" s="53"/>
      <c r="P37" s="53"/>
      <c r="Q37" s="1"/>
      <c r="R37" s="1"/>
      <c r="S37" s="54"/>
      <c r="T37" s="55"/>
      <c r="U37" s="56"/>
      <c r="V37" s="57"/>
      <c r="AA37" s="54"/>
      <c r="AB37" s="55"/>
      <c r="AC37" s="57"/>
    </row>
    <row r="38" spans="1:29" ht="18" customHeight="1">
      <c r="A38" s="62" t="s">
        <v>38</v>
      </c>
      <c r="B38" s="45"/>
      <c r="C38" s="45"/>
      <c r="D38" s="45"/>
      <c r="E38" s="45"/>
      <c r="F38" s="68"/>
      <c r="G38" s="47">
        <f t="shared" si="0"/>
        <v>0</v>
      </c>
      <c r="H38" s="72">
        <v>0</v>
      </c>
      <c r="I38" s="60">
        <f t="shared" si="1"/>
        <v>0</v>
      </c>
      <c r="J38" s="66">
        <v>14.4</v>
      </c>
      <c r="K38" s="51">
        <f t="shared" si="2"/>
        <v>15.08832</v>
      </c>
      <c r="L38" s="52">
        <f t="shared" si="3"/>
        <v>0</v>
      </c>
      <c r="M38" s="3"/>
      <c r="N38" s="53"/>
      <c r="O38" s="53"/>
      <c r="P38" s="53"/>
      <c r="Q38" s="1"/>
      <c r="R38" s="1"/>
      <c r="S38" s="54"/>
      <c r="T38" s="55"/>
      <c r="U38" s="56"/>
      <c r="V38" s="57"/>
      <c r="AA38" s="54"/>
      <c r="AB38" s="55"/>
      <c r="AC38" s="57"/>
    </row>
    <row r="39" spans="1:29" ht="18" customHeight="1">
      <c r="A39" s="58" t="s">
        <v>39</v>
      </c>
      <c r="B39" s="45"/>
      <c r="C39" s="45"/>
      <c r="D39" s="45"/>
      <c r="E39" s="45"/>
      <c r="F39" s="68"/>
      <c r="G39" s="47">
        <f t="shared" si="0"/>
        <v>0</v>
      </c>
      <c r="H39" s="72">
        <v>0.15</v>
      </c>
      <c r="I39" s="60">
        <f t="shared" si="1"/>
        <v>0</v>
      </c>
      <c r="J39" s="66">
        <v>2.97</v>
      </c>
      <c r="K39" s="51">
        <f t="shared" si="2"/>
        <v>3.1119660000000002</v>
      </c>
      <c r="L39" s="52">
        <f t="shared" si="3"/>
        <v>0</v>
      </c>
      <c r="M39" s="3"/>
      <c r="N39" s="53"/>
      <c r="O39" s="53"/>
      <c r="P39" s="53"/>
      <c r="Q39" s="1"/>
      <c r="R39" s="1"/>
      <c r="S39" s="54"/>
      <c r="T39" s="55"/>
      <c r="U39" s="56"/>
      <c r="V39" s="57"/>
      <c r="AA39" s="54"/>
      <c r="AB39" s="55"/>
      <c r="AC39" s="57"/>
    </row>
    <row r="40" spans="1:29" ht="18" customHeight="1">
      <c r="A40" s="58" t="s">
        <v>40</v>
      </c>
      <c r="B40" s="45"/>
      <c r="C40" s="45"/>
      <c r="D40" s="45"/>
      <c r="E40" s="45"/>
      <c r="F40" s="68"/>
      <c r="G40" s="47">
        <f t="shared" si="0"/>
        <v>0</v>
      </c>
      <c r="H40" s="72">
        <v>1.4</v>
      </c>
      <c r="I40" s="60">
        <f t="shared" si="1"/>
        <v>0</v>
      </c>
      <c r="J40" s="66">
        <v>3.96</v>
      </c>
      <c r="K40" s="51">
        <f t="shared" si="2"/>
        <v>4.1492880000000003</v>
      </c>
      <c r="L40" s="52">
        <f t="shared" si="3"/>
        <v>0</v>
      </c>
      <c r="M40" s="3"/>
      <c r="N40" s="53"/>
      <c r="O40" s="53"/>
      <c r="P40" s="53"/>
      <c r="Q40" s="1"/>
      <c r="R40" s="1"/>
      <c r="S40" s="54"/>
      <c r="T40" s="55"/>
      <c r="U40" s="56"/>
      <c r="V40" s="57"/>
      <c r="AA40" s="54"/>
      <c r="AB40" s="55"/>
      <c r="AC40" s="57"/>
    </row>
    <row r="41" spans="1:29" ht="18" customHeight="1">
      <c r="A41" s="58" t="s">
        <v>41</v>
      </c>
      <c r="B41" s="45"/>
      <c r="C41" s="45"/>
      <c r="D41" s="45"/>
      <c r="E41" s="45"/>
      <c r="F41" s="68"/>
      <c r="G41" s="47">
        <f t="shared" si="0"/>
        <v>0</v>
      </c>
      <c r="H41" s="72">
        <v>1.6</v>
      </c>
      <c r="I41" s="60">
        <f t="shared" si="1"/>
        <v>0</v>
      </c>
      <c r="J41" s="66">
        <v>4.82</v>
      </c>
      <c r="K41" s="51">
        <f t="shared" si="2"/>
        <v>5.0503960000000001</v>
      </c>
      <c r="L41" s="52">
        <f t="shared" si="3"/>
        <v>0</v>
      </c>
      <c r="M41" s="3"/>
      <c r="N41" s="53"/>
      <c r="O41" s="53"/>
      <c r="P41" s="53"/>
      <c r="Q41" s="1"/>
      <c r="R41" s="1"/>
      <c r="S41" s="54"/>
      <c r="T41" s="55"/>
      <c r="U41" s="56"/>
      <c r="V41" s="57"/>
      <c r="AA41" s="54"/>
      <c r="AB41" s="55"/>
      <c r="AC41" s="57"/>
    </row>
    <row r="42" spans="1:29" ht="18" customHeight="1">
      <c r="A42" s="58" t="s">
        <v>42</v>
      </c>
      <c r="B42" s="45"/>
      <c r="C42" s="45"/>
      <c r="D42" s="45"/>
      <c r="E42" s="45"/>
      <c r="F42" s="68"/>
      <c r="G42" s="47">
        <f t="shared" si="0"/>
        <v>0</v>
      </c>
      <c r="H42" s="72">
        <v>0</v>
      </c>
      <c r="I42" s="60">
        <f>G42*H42</f>
        <v>0</v>
      </c>
      <c r="J42" s="66">
        <v>9.01</v>
      </c>
      <c r="K42" s="51">
        <f t="shared" si="2"/>
        <v>9.4406780000000001</v>
      </c>
      <c r="L42" s="52">
        <f t="shared" si="3"/>
        <v>0</v>
      </c>
      <c r="M42" s="3"/>
      <c r="N42" s="53"/>
      <c r="O42" s="53"/>
      <c r="P42" s="53"/>
      <c r="Q42" s="1"/>
      <c r="R42" s="1"/>
      <c r="S42" s="54"/>
      <c r="T42" s="55"/>
      <c r="U42" s="56"/>
      <c r="V42" s="57"/>
      <c r="AA42" s="54"/>
      <c r="AB42" s="55"/>
      <c r="AC42" s="57"/>
    </row>
    <row r="43" spans="1:29" ht="19.5" customHeight="1">
      <c r="A43" s="58" t="s">
        <v>43</v>
      </c>
      <c r="B43" s="45"/>
      <c r="C43" s="45"/>
      <c r="D43" s="45"/>
      <c r="E43" s="45"/>
      <c r="F43" s="68"/>
      <c r="G43" s="47">
        <f t="shared" si="0"/>
        <v>0</v>
      </c>
      <c r="H43" s="72">
        <v>0.2</v>
      </c>
      <c r="I43" s="60">
        <f t="shared" si="1"/>
        <v>0</v>
      </c>
      <c r="J43" s="66">
        <v>3.52</v>
      </c>
      <c r="K43" s="51">
        <f t="shared" si="2"/>
        <v>3.688256</v>
      </c>
      <c r="L43" s="52">
        <f t="shared" si="3"/>
        <v>0</v>
      </c>
      <c r="M43" s="3"/>
      <c r="N43" s="53"/>
      <c r="O43" s="53"/>
      <c r="P43" s="53"/>
      <c r="Q43" s="1"/>
      <c r="R43" s="1"/>
      <c r="S43" s="54"/>
      <c r="T43" s="55"/>
      <c r="U43" s="56"/>
      <c r="V43" s="57"/>
      <c r="AA43" s="54"/>
      <c r="AB43" s="55"/>
      <c r="AC43" s="57"/>
    </row>
    <row r="44" spans="1:29" ht="18" customHeight="1">
      <c r="A44" s="58" t="s">
        <v>44</v>
      </c>
      <c r="B44" s="45"/>
      <c r="C44" s="45"/>
      <c r="D44" s="45"/>
      <c r="E44" s="45"/>
      <c r="F44" s="68"/>
      <c r="G44" s="47">
        <f t="shared" si="0"/>
        <v>0</v>
      </c>
      <c r="H44" s="72">
        <v>0</v>
      </c>
      <c r="I44" s="60">
        <f>G44*H44</f>
        <v>0</v>
      </c>
      <c r="J44" s="66">
        <v>12.32</v>
      </c>
      <c r="K44" s="51">
        <f t="shared" si="2"/>
        <v>12.908896</v>
      </c>
      <c r="L44" s="52">
        <f t="shared" si="3"/>
        <v>0</v>
      </c>
      <c r="M44" s="3"/>
      <c r="N44" s="53"/>
      <c r="O44" s="53"/>
      <c r="P44" s="53"/>
      <c r="Q44" s="1"/>
      <c r="R44" s="1"/>
      <c r="S44" s="54"/>
      <c r="T44" s="55"/>
      <c r="U44" s="56"/>
      <c r="V44" s="57"/>
      <c r="AA44" s="54"/>
      <c r="AB44" s="55"/>
      <c r="AC44" s="57"/>
    </row>
    <row r="45" spans="1:29" ht="18" customHeight="1">
      <c r="A45" s="58" t="s">
        <v>45</v>
      </c>
      <c r="B45" s="45"/>
      <c r="C45" s="45"/>
      <c r="D45" s="45"/>
      <c r="E45" s="45"/>
      <c r="F45" s="68"/>
      <c r="G45" s="47">
        <f t="shared" si="0"/>
        <v>0</v>
      </c>
      <c r="H45" s="72">
        <v>0</v>
      </c>
      <c r="I45" s="60">
        <f t="shared" si="1"/>
        <v>0</v>
      </c>
      <c r="J45" s="73">
        <v>20.05</v>
      </c>
      <c r="K45" s="51">
        <f t="shared" si="2"/>
        <v>21.008390000000002</v>
      </c>
      <c r="L45" s="52">
        <f t="shared" si="3"/>
        <v>0</v>
      </c>
      <c r="M45" s="3"/>
      <c r="N45" s="53"/>
      <c r="O45" s="53"/>
      <c r="P45" s="53"/>
      <c r="Q45" s="1"/>
      <c r="R45" s="1"/>
      <c r="S45" s="54"/>
      <c r="T45" s="74"/>
      <c r="U45" s="56"/>
      <c r="V45" s="57"/>
      <c r="AA45" s="54"/>
      <c r="AB45" s="74"/>
      <c r="AC45" s="57"/>
    </row>
    <row r="46" spans="1:29" ht="18" customHeight="1">
      <c r="A46" s="58" t="s">
        <v>46</v>
      </c>
      <c r="B46" s="45"/>
      <c r="C46" s="45"/>
      <c r="D46" s="45"/>
      <c r="E46" s="45"/>
      <c r="F46" s="68"/>
      <c r="G46" s="47">
        <f t="shared" si="0"/>
        <v>0</v>
      </c>
      <c r="H46" s="72">
        <v>0</v>
      </c>
      <c r="I46" s="60">
        <f t="shared" si="1"/>
        <v>0</v>
      </c>
      <c r="J46" s="73">
        <v>36.71</v>
      </c>
      <c r="K46" s="51">
        <f t="shared" si="2"/>
        <v>38.464738000000004</v>
      </c>
      <c r="L46" s="52">
        <f t="shared" si="3"/>
        <v>0</v>
      </c>
      <c r="M46" s="3"/>
      <c r="N46" s="53"/>
      <c r="O46" s="53"/>
      <c r="P46" s="53"/>
      <c r="Q46" s="1"/>
      <c r="R46" s="1"/>
      <c r="S46" s="54"/>
      <c r="T46" s="74"/>
      <c r="U46" s="56"/>
      <c r="V46" s="57"/>
      <c r="AA46" s="54"/>
      <c r="AB46" s="74"/>
      <c r="AC46" s="57"/>
    </row>
    <row r="47" spans="1:29" ht="18" customHeight="1" thickBot="1">
      <c r="A47" s="67"/>
      <c r="B47" s="45"/>
      <c r="C47" s="45"/>
      <c r="D47" s="45"/>
      <c r="E47" s="45"/>
      <c r="F47" s="68"/>
      <c r="G47" s="75"/>
      <c r="H47" s="76"/>
      <c r="I47" s="70"/>
      <c r="J47" s="77"/>
      <c r="K47" s="65"/>
      <c r="L47" s="78"/>
      <c r="M47" s="3"/>
      <c r="N47" s="53"/>
      <c r="O47" s="53"/>
      <c r="P47" s="53"/>
      <c r="Q47" s="1"/>
      <c r="R47" s="1"/>
      <c r="S47" s="1"/>
      <c r="T47" s="1"/>
      <c r="AA47" s="421"/>
      <c r="AB47" s="421"/>
      <c r="AC47" s="57"/>
    </row>
    <row r="48" spans="1:29" ht="21" thickBot="1">
      <c r="A48" s="79" t="s">
        <v>47</v>
      </c>
      <c r="B48" s="80"/>
      <c r="C48" s="80"/>
      <c r="D48" s="80"/>
      <c r="E48" s="80"/>
      <c r="F48" s="81"/>
      <c r="G48" s="82">
        <f>SUM(G11:G47)</f>
        <v>0</v>
      </c>
      <c r="H48" s="83"/>
      <c r="I48" s="84">
        <f>SUM(I11:I47)</f>
        <v>0</v>
      </c>
      <c r="J48" s="85" t="s">
        <v>7</v>
      </c>
      <c r="K48" s="86"/>
      <c r="L48" s="87">
        <f>SUM(L11:L47)</f>
        <v>0</v>
      </c>
      <c r="M48" s="34"/>
      <c r="Q48" s="88"/>
      <c r="R48" s="88"/>
      <c r="S48" s="88"/>
      <c r="T48" s="37"/>
      <c r="AA48" s="88"/>
      <c r="AB48" s="37"/>
    </row>
    <row r="49" spans="1:28" ht="21" thickBot="1">
      <c r="A49" s="89"/>
      <c r="B49" s="89"/>
      <c r="C49" s="89"/>
      <c r="D49" s="89"/>
      <c r="E49" s="89"/>
      <c r="F49" s="90"/>
      <c r="G49" s="24"/>
      <c r="H49" s="91"/>
      <c r="I49" s="92"/>
      <c r="J49" s="93" t="s">
        <v>48</v>
      </c>
      <c r="K49" s="94"/>
      <c r="L49" s="87">
        <f>L48</f>
        <v>0</v>
      </c>
      <c r="M49" s="37"/>
      <c r="N49" s="95"/>
      <c r="O49" s="96"/>
      <c r="P49" s="96"/>
      <c r="Q49" s="88"/>
      <c r="R49" s="88"/>
      <c r="S49" s="88"/>
      <c r="T49" s="37"/>
      <c r="AA49" s="88"/>
      <c r="AB49" s="37"/>
    </row>
    <row r="50" spans="1:28" ht="20.25">
      <c r="A50" s="89"/>
      <c r="B50" s="89"/>
      <c r="C50" s="89"/>
      <c r="D50" s="89"/>
      <c r="E50" s="89"/>
      <c r="F50" s="90"/>
      <c r="G50" s="24"/>
      <c r="H50" s="91"/>
      <c r="I50" s="92"/>
      <c r="J50" s="97"/>
      <c r="K50" s="97"/>
      <c r="L50" s="98"/>
      <c r="M50" s="37"/>
      <c r="N50" s="95"/>
      <c r="O50" s="96"/>
      <c r="P50" s="96"/>
      <c r="Q50" s="88"/>
      <c r="R50" s="88"/>
      <c r="S50" s="88"/>
      <c r="T50" s="37"/>
      <c r="AA50" s="88"/>
      <c r="AB50" s="37"/>
    </row>
    <row r="51" spans="1:28" ht="20.25">
      <c r="A51" s="89"/>
      <c r="B51" s="89"/>
      <c r="C51" s="89"/>
      <c r="D51" s="89"/>
      <c r="E51" s="89"/>
      <c r="F51" s="90"/>
      <c r="G51" s="99"/>
      <c r="H51" s="99"/>
      <c r="I51" s="100"/>
      <c r="J51" s="100"/>
      <c r="K51" s="100"/>
      <c r="L51" s="98"/>
      <c r="M51" s="37"/>
      <c r="N51" s="95"/>
      <c r="O51" s="96"/>
      <c r="P51" s="96"/>
      <c r="Q51" s="88"/>
      <c r="R51" s="88"/>
      <c r="S51" s="88"/>
      <c r="T51" s="37"/>
      <c r="AA51" s="88"/>
      <c r="AB51" s="37"/>
    </row>
    <row r="52" spans="1:28" ht="11.25" customHeight="1">
      <c r="A52" s="8"/>
      <c r="B52" s="424"/>
      <c r="C52" s="424"/>
      <c r="D52" s="424"/>
      <c r="E52" s="425"/>
      <c r="F52" s="9"/>
      <c r="G52" s="430"/>
      <c r="H52" s="430"/>
      <c r="I52" s="430"/>
      <c r="J52" s="430"/>
      <c r="K52" s="430"/>
      <c r="L52" s="431"/>
      <c r="M52" s="3"/>
      <c r="N52" s="4"/>
      <c r="O52" s="5"/>
      <c r="P52" s="5"/>
      <c r="Q52" s="1"/>
      <c r="R52" s="1"/>
      <c r="S52" s="1"/>
      <c r="T52" s="1"/>
      <c r="AA52" s="1"/>
      <c r="AB52" s="1"/>
    </row>
    <row r="53" spans="1:2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3"/>
      <c r="N53" s="4"/>
      <c r="O53" s="5"/>
      <c r="P53" s="5"/>
      <c r="Q53" s="1"/>
      <c r="R53" s="1"/>
      <c r="S53" s="1"/>
      <c r="T53" s="1"/>
      <c r="AA53" s="1"/>
      <c r="AB53" s="1"/>
    </row>
    <row r="54" spans="1:2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3"/>
      <c r="N54" s="4"/>
      <c r="O54" s="5"/>
      <c r="P54" s="5"/>
      <c r="Q54" s="1"/>
      <c r="R54" s="1"/>
      <c r="S54" s="1"/>
      <c r="T54" s="1"/>
      <c r="AA54" s="1"/>
      <c r="AB54" s="1"/>
    </row>
    <row r="55" spans="1:2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3"/>
      <c r="N55" s="4"/>
      <c r="O55" s="5"/>
      <c r="P55" s="5"/>
      <c r="Q55" s="1"/>
      <c r="R55" s="1"/>
      <c r="S55" s="1"/>
      <c r="T55" s="1"/>
      <c r="AA55" s="1"/>
      <c r="AB55" s="1"/>
    </row>
    <row r="56" spans="1:2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3"/>
      <c r="N56" s="4"/>
      <c r="O56" s="5"/>
      <c r="P56" s="5"/>
      <c r="Q56" s="1"/>
      <c r="R56" s="1"/>
      <c r="S56" s="1"/>
      <c r="T56" s="1"/>
      <c r="AA56" s="1"/>
      <c r="AB56" s="1"/>
    </row>
    <row r="57" spans="1:2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3"/>
      <c r="N57" s="4"/>
      <c r="O57" s="5"/>
      <c r="P57" s="5"/>
      <c r="Q57" s="1"/>
      <c r="R57" s="1"/>
      <c r="S57" s="1"/>
      <c r="T57" s="1"/>
      <c r="AA57" s="1"/>
      <c r="AB57" s="1"/>
    </row>
    <row r="58" spans="1:2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3"/>
      <c r="N58" s="4"/>
      <c r="O58" s="5"/>
      <c r="P58" s="5"/>
      <c r="Q58" s="1"/>
      <c r="R58" s="1"/>
      <c r="S58" s="1"/>
      <c r="T58" s="1"/>
      <c r="AA58" s="1"/>
      <c r="AB58" s="1"/>
    </row>
    <row r="59" spans="1:2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3"/>
      <c r="N59" s="4"/>
      <c r="O59" s="5"/>
      <c r="P59" s="5"/>
      <c r="Q59" s="1"/>
      <c r="R59" s="1"/>
      <c r="S59" s="1"/>
      <c r="T59" s="1"/>
      <c r="AA59" s="1"/>
      <c r="AB59" s="1"/>
    </row>
    <row r="60" spans="1:2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3"/>
      <c r="N60" s="4"/>
      <c r="O60" s="5"/>
      <c r="P60" s="5"/>
      <c r="Q60" s="1"/>
      <c r="R60" s="1"/>
      <c r="S60" s="1"/>
      <c r="T60" s="1"/>
      <c r="AA60" s="1"/>
      <c r="AB60" s="1"/>
    </row>
    <row r="61" spans="1:2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3"/>
      <c r="N61" s="4"/>
      <c r="O61" s="5"/>
      <c r="P61" s="5"/>
      <c r="Q61" s="1"/>
      <c r="R61" s="1"/>
      <c r="S61" s="1"/>
      <c r="T61" s="1"/>
      <c r="AA61" s="1"/>
      <c r="AB61" s="1"/>
    </row>
    <row r="62" spans="1:2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3"/>
      <c r="N62" s="4"/>
      <c r="O62" s="5"/>
      <c r="P62" s="5"/>
      <c r="Q62" s="1"/>
      <c r="R62" s="1"/>
      <c r="S62" s="1"/>
      <c r="T62" s="1"/>
      <c r="AA62" s="1"/>
      <c r="AB62" s="1"/>
    </row>
    <row r="63" spans="1:2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3"/>
      <c r="N63" s="4"/>
      <c r="O63" s="5"/>
      <c r="P63" s="5"/>
      <c r="Q63" s="1"/>
      <c r="R63" s="1"/>
      <c r="S63" s="1"/>
      <c r="T63" s="1"/>
      <c r="AA63" s="1"/>
      <c r="AB63" s="1"/>
    </row>
    <row r="64" spans="1:2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3"/>
      <c r="N64" s="4"/>
      <c r="O64" s="5"/>
      <c r="P64" s="5"/>
      <c r="Q64" s="1"/>
      <c r="R64" s="1"/>
      <c r="S64" s="1"/>
      <c r="T64" s="1"/>
      <c r="AA64" s="1"/>
      <c r="AB64" s="1"/>
    </row>
    <row r="65" spans="1:2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3"/>
      <c r="N65" s="4"/>
      <c r="O65" s="5"/>
      <c r="P65" s="5"/>
      <c r="Q65" s="1"/>
      <c r="R65" s="1"/>
      <c r="S65" s="1"/>
      <c r="T65" s="1"/>
      <c r="AA65" s="1"/>
      <c r="AB65" s="1"/>
    </row>
    <row r="66" spans="1:2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3"/>
      <c r="N66" s="4"/>
      <c r="O66" s="5"/>
      <c r="P66" s="5"/>
      <c r="Q66" s="1"/>
      <c r="R66" s="1"/>
      <c r="S66" s="1"/>
      <c r="T66" s="1"/>
      <c r="AA66" s="1"/>
      <c r="AB66" s="1"/>
    </row>
    <row r="67" spans="1:2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3"/>
      <c r="N67" s="4"/>
      <c r="O67" s="5"/>
      <c r="P67" s="5"/>
      <c r="Q67" s="1"/>
      <c r="R67" s="1"/>
      <c r="S67" s="1"/>
      <c r="T67" s="1"/>
      <c r="AA67" s="1"/>
      <c r="AB67" s="1"/>
    </row>
    <row r="68" spans="1:2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3"/>
      <c r="N68" s="4"/>
      <c r="O68" s="5"/>
      <c r="P68" s="5"/>
      <c r="Q68" s="1"/>
      <c r="R68" s="1"/>
      <c r="S68" s="1"/>
      <c r="T68" s="1"/>
      <c r="AA68" s="1"/>
      <c r="AB68" s="1"/>
    </row>
    <row r="69" spans="1:2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3"/>
      <c r="N69" s="4"/>
      <c r="O69" s="5"/>
      <c r="P69" s="5"/>
      <c r="Q69" s="1"/>
      <c r="R69" s="1"/>
      <c r="S69" s="1"/>
      <c r="T69" s="1"/>
      <c r="AA69" s="1"/>
      <c r="AB69" s="1"/>
    </row>
    <row r="70" spans="1:2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3"/>
      <c r="N70" s="4"/>
      <c r="O70" s="5"/>
      <c r="P70" s="5"/>
      <c r="Q70" s="1"/>
      <c r="R70" s="1"/>
      <c r="S70" s="1"/>
      <c r="T70" s="1"/>
      <c r="AA70" s="1"/>
      <c r="AB70" s="1"/>
    </row>
    <row r="71" spans="1:2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3"/>
      <c r="N71" s="4"/>
      <c r="O71" s="5"/>
      <c r="P71" s="5"/>
      <c r="Q71" s="1"/>
      <c r="R71" s="1"/>
      <c r="S71" s="1"/>
      <c r="T71" s="1"/>
      <c r="AA71" s="1"/>
      <c r="AB71" s="1"/>
    </row>
    <row r="72" spans="1:2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3"/>
      <c r="N72" s="4"/>
      <c r="O72" s="5"/>
      <c r="P72" s="5"/>
      <c r="Q72" s="1"/>
      <c r="R72" s="1"/>
      <c r="S72" s="1"/>
      <c r="T72" s="1"/>
      <c r="AA72" s="1"/>
      <c r="AB72" s="1"/>
    </row>
    <row r="73" spans="1:2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3"/>
      <c r="N73" s="4"/>
      <c r="O73" s="5"/>
      <c r="P73" s="5"/>
      <c r="Q73" s="1"/>
      <c r="R73" s="1"/>
      <c r="S73" s="1"/>
      <c r="T73" s="1"/>
      <c r="AA73" s="1"/>
      <c r="AB73" s="1"/>
    </row>
    <row r="74" spans="1:2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3"/>
      <c r="N74" s="4"/>
      <c r="O74" s="5"/>
      <c r="P74" s="5"/>
      <c r="Q74" s="1"/>
      <c r="R74" s="1"/>
      <c r="S74" s="1"/>
      <c r="T74" s="1"/>
      <c r="AA74" s="1"/>
      <c r="AB74" s="1"/>
    </row>
    <row r="75" spans="1:2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3"/>
      <c r="N75" s="4"/>
      <c r="O75" s="5"/>
      <c r="P75" s="5"/>
      <c r="Q75" s="1"/>
      <c r="R75" s="1"/>
      <c r="S75" s="1"/>
      <c r="T75" s="1"/>
      <c r="AA75" s="1"/>
      <c r="AB75" s="1"/>
    </row>
    <row r="76" spans="1:2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3"/>
      <c r="N76" s="4"/>
      <c r="O76" s="5"/>
      <c r="P76" s="5"/>
      <c r="Q76" s="1"/>
      <c r="R76" s="1"/>
      <c r="S76" s="1"/>
      <c r="T76" s="1"/>
      <c r="AA76" s="1"/>
      <c r="AB76" s="1"/>
    </row>
    <row r="77" spans="1:2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3"/>
      <c r="N77" s="4"/>
      <c r="O77" s="5"/>
      <c r="P77" s="5"/>
      <c r="Q77" s="1"/>
      <c r="R77" s="1"/>
      <c r="S77" s="1"/>
      <c r="T77" s="1"/>
      <c r="AA77" s="1"/>
      <c r="AB77" s="1"/>
    </row>
    <row r="78" spans="1:2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3"/>
      <c r="N78" s="4"/>
      <c r="O78" s="5"/>
      <c r="P78" s="5"/>
      <c r="Q78" s="1"/>
      <c r="R78" s="1"/>
      <c r="S78" s="1"/>
      <c r="T78" s="1"/>
      <c r="AA78" s="1"/>
      <c r="AB78" s="1"/>
    </row>
    <row r="79" spans="1:2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3"/>
      <c r="N79" s="4"/>
      <c r="O79" s="5"/>
      <c r="P79" s="5"/>
      <c r="Q79" s="1"/>
      <c r="R79" s="1"/>
      <c r="S79" s="1"/>
      <c r="T79" s="1"/>
      <c r="AA79" s="1"/>
      <c r="AB79" s="1"/>
    </row>
    <row r="80" spans="1:2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3"/>
      <c r="N80" s="4"/>
      <c r="O80" s="5"/>
      <c r="P80" s="5"/>
      <c r="Q80" s="1"/>
      <c r="R80" s="1"/>
      <c r="S80" s="1"/>
      <c r="T80" s="1"/>
      <c r="AA80" s="1"/>
      <c r="AB80" s="1"/>
    </row>
    <row r="81" spans="1:2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3"/>
      <c r="N81" s="4"/>
      <c r="O81" s="5"/>
      <c r="P81" s="5"/>
      <c r="Q81" s="1"/>
      <c r="R81" s="1"/>
      <c r="S81" s="1"/>
      <c r="T81" s="1"/>
      <c r="AA81" s="1"/>
      <c r="AB81" s="1"/>
    </row>
    <row r="82" spans="1:2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3"/>
      <c r="N82" s="4"/>
      <c r="O82" s="5"/>
      <c r="P82" s="5"/>
      <c r="Q82" s="1"/>
      <c r="R82" s="1"/>
      <c r="S82" s="1"/>
      <c r="T82" s="1"/>
      <c r="AA82" s="1"/>
      <c r="AB82" s="1"/>
    </row>
    <row r="83" spans="1:2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3"/>
      <c r="N83" s="4"/>
      <c r="O83" s="5"/>
      <c r="P83" s="5"/>
      <c r="Q83" s="1"/>
      <c r="R83" s="1"/>
      <c r="S83" s="1"/>
      <c r="T83" s="1"/>
      <c r="AA83" s="1"/>
      <c r="AB83" s="1"/>
    </row>
    <row r="84" spans="1:2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3"/>
      <c r="N84" s="4"/>
      <c r="O84" s="5"/>
      <c r="P84" s="5"/>
      <c r="Q84" s="1"/>
      <c r="R84" s="1"/>
      <c r="S84" s="1"/>
      <c r="T84" s="1"/>
      <c r="AA84" s="1"/>
      <c r="AB84" s="1"/>
    </row>
    <row r="85" spans="1:2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3"/>
      <c r="N85" s="4"/>
      <c r="O85" s="5"/>
      <c r="P85" s="5"/>
      <c r="Q85" s="1"/>
      <c r="R85" s="1"/>
      <c r="S85" s="1"/>
      <c r="T85" s="1"/>
      <c r="AA85" s="1"/>
      <c r="AB85" s="1"/>
    </row>
    <row r="86" spans="1:2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3"/>
      <c r="N86" s="4"/>
      <c r="O86" s="5"/>
      <c r="P86" s="5"/>
      <c r="Q86" s="1"/>
      <c r="R86" s="1"/>
      <c r="S86" s="1"/>
      <c r="T86" s="1"/>
      <c r="AA86" s="1"/>
      <c r="AB86" s="1"/>
    </row>
    <row r="87" spans="1:2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3"/>
      <c r="N87" s="4"/>
      <c r="O87" s="5"/>
      <c r="P87" s="5"/>
      <c r="Q87" s="1"/>
      <c r="R87" s="1"/>
      <c r="S87" s="1"/>
      <c r="T87" s="1"/>
      <c r="AA87" s="1"/>
      <c r="AB87" s="1"/>
    </row>
    <row r="88" spans="1:2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3"/>
      <c r="N88" s="4"/>
      <c r="O88" s="5"/>
      <c r="P88" s="5"/>
      <c r="Q88" s="1"/>
      <c r="R88" s="1"/>
      <c r="S88" s="1"/>
      <c r="T88" s="1"/>
      <c r="AA88" s="1"/>
      <c r="AB88" s="1"/>
    </row>
    <row r="89" spans="1:2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3"/>
      <c r="N89" s="4"/>
      <c r="O89" s="5"/>
      <c r="P89" s="5"/>
      <c r="Q89" s="1"/>
      <c r="R89" s="1"/>
      <c r="S89" s="1"/>
      <c r="T89" s="1"/>
      <c r="AA89" s="1"/>
      <c r="AB89" s="1"/>
    </row>
    <row r="90" spans="1:2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3"/>
      <c r="N90" s="4"/>
      <c r="O90" s="5"/>
      <c r="P90" s="5"/>
      <c r="Q90" s="1"/>
      <c r="R90" s="1"/>
      <c r="S90" s="1"/>
      <c r="T90" s="1"/>
      <c r="AA90" s="1"/>
      <c r="AB90" s="1"/>
    </row>
    <row r="91" spans="1:2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3"/>
      <c r="N91" s="4"/>
      <c r="O91" s="5"/>
      <c r="P91" s="5"/>
      <c r="Q91" s="1"/>
      <c r="R91" s="1"/>
      <c r="S91" s="1"/>
      <c r="T91" s="1"/>
      <c r="AA91" s="1"/>
      <c r="AB91" s="1"/>
    </row>
    <row r="92" spans="1:2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3"/>
      <c r="N92" s="4"/>
      <c r="O92" s="5"/>
      <c r="P92" s="5"/>
      <c r="Q92" s="1"/>
      <c r="R92" s="1"/>
      <c r="S92" s="1"/>
      <c r="T92" s="1"/>
      <c r="AA92" s="1"/>
      <c r="AB92" s="1"/>
    </row>
    <row r="93" spans="1:2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3"/>
      <c r="N93" s="4"/>
      <c r="O93" s="5"/>
      <c r="P93" s="5"/>
      <c r="Q93" s="1"/>
      <c r="R93" s="1"/>
      <c r="S93" s="1"/>
      <c r="T93" s="1"/>
      <c r="AA93" s="1"/>
      <c r="AB93" s="1"/>
    </row>
    <row r="94" spans="1:2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3"/>
      <c r="N94" s="4"/>
      <c r="O94" s="5"/>
      <c r="P94" s="5"/>
      <c r="Q94" s="1"/>
      <c r="R94" s="1"/>
      <c r="S94" s="1"/>
      <c r="T94" s="1"/>
      <c r="AA94" s="1"/>
      <c r="AB94" s="1"/>
    </row>
    <row r="95" spans="1:2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3"/>
      <c r="N95" s="4"/>
      <c r="O95" s="5"/>
      <c r="P95" s="5"/>
      <c r="Q95" s="1"/>
      <c r="R95" s="1"/>
      <c r="S95" s="1"/>
      <c r="T95" s="1"/>
      <c r="AA95" s="1"/>
      <c r="AB95" s="1"/>
    </row>
    <row r="96" spans="1:2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3"/>
      <c r="N96" s="4"/>
      <c r="O96" s="5"/>
      <c r="P96" s="5"/>
      <c r="Q96" s="1"/>
      <c r="R96" s="1"/>
      <c r="S96" s="1"/>
      <c r="T96" s="1"/>
      <c r="AA96" s="1"/>
      <c r="AB96" s="1"/>
    </row>
    <row r="97" spans="1:2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3"/>
      <c r="N97" s="4"/>
      <c r="O97" s="5"/>
      <c r="P97" s="5"/>
      <c r="Q97" s="1"/>
      <c r="R97" s="1"/>
      <c r="S97" s="1"/>
      <c r="T97" s="1"/>
      <c r="AA97" s="1"/>
      <c r="AB97" s="1"/>
    </row>
    <row r="98" spans="1:2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3"/>
      <c r="N98" s="4"/>
      <c r="O98" s="5"/>
      <c r="P98" s="5"/>
      <c r="Q98" s="1"/>
      <c r="R98" s="1"/>
      <c r="S98" s="1"/>
      <c r="T98" s="1"/>
      <c r="AA98" s="1"/>
      <c r="AB98" s="1"/>
    </row>
    <row r="99" spans="1:2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3"/>
      <c r="N99" s="4"/>
      <c r="O99" s="5"/>
      <c r="P99" s="5"/>
      <c r="Q99" s="1"/>
      <c r="R99" s="1"/>
      <c r="S99" s="1"/>
      <c r="T99" s="1"/>
      <c r="AA99" s="1"/>
      <c r="AB99" s="1"/>
    </row>
    <row r="100" spans="1:2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3"/>
      <c r="N100" s="4"/>
      <c r="O100" s="5"/>
      <c r="P100" s="5"/>
      <c r="Q100" s="1"/>
      <c r="R100" s="1"/>
      <c r="S100" s="1"/>
      <c r="T100" s="1"/>
      <c r="AA100" s="1"/>
      <c r="AB100" s="1"/>
    </row>
    <row r="101" spans="1:2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3"/>
      <c r="N101" s="4"/>
      <c r="O101" s="5"/>
      <c r="P101" s="5"/>
      <c r="Q101" s="1"/>
      <c r="R101" s="1"/>
      <c r="S101" s="1"/>
      <c r="T101" s="1"/>
      <c r="AA101" s="1"/>
      <c r="AB101" s="1"/>
    </row>
    <row r="102" spans="1:2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3"/>
      <c r="N102" s="4"/>
      <c r="O102" s="5"/>
      <c r="P102" s="5"/>
      <c r="Q102" s="1"/>
      <c r="R102" s="1"/>
      <c r="S102" s="1"/>
      <c r="T102" s="1"/>
      <c r="AA102" s="1"/>
      <c r="AB102" s="1"/>
    </row>
    <row r="103" spans="1:2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3"/>
      <c r="N103" s="4"/>
      <c r="O103" s="5"/>
      <c r="P103" s="5"/>
      <c r="Q103" s="1"/>
      <c r="R103" s="1"/>
      <c r="S103" s="1"/>
      <c r="T103" s="1"/>
      <c r="AA103" s="1"/>
      <c r="AB103" s="1"/>
    </row>
    <row r="104" spans="1:2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3"/>
      <c r="N104" s="4"/>
      <c r="O104" s="5"/>
      <c r="P104" s="5"/>
      <c r="Q104" s="1"/>
      <c r="R104" s="1"/>
      <c r="S104" s="1"/>
      <c r="T104" s="1"/>
      <c r="AA104" s="1"/>
      <c r="AB104" s="1"/>
    </row>
    <row r="105" spans="1:2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3"/>
      <c r="N105" s="4"/>
      <c r="O105" s="5"/>
      <c r="P105" s="5"/>
      <c r="Q105" s="1"/>
      <c r="R105" s="1"/>
      <c r="S105" s="1"/>
      <c r="T105" s="1"/>
      <c r="AA105" s="1"/>
      <c r="AB105" s="1"/>
    </row>
    <row r="106" spans="1:2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3"/>
      <c r="N106" s="4"/>
      <c r="O106" s="5"/>
      <c r="P106" s="5"/>
      <c r="Q106" s="1"/>
      <c r="R106" s="1"/>
      <c r="S106" s="1"/>
      <c r="T106" s="1"/>
      <c r="AA106" s="1"/>
      <c r="AB106" s="1"/>
    </row>
    <row r="107" spans="1:2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3"/>
      <c r="N107" s="4"/>
      <c r="O107" s="5"/>
      <c r="P107" s="5"/>
      <c r="Q107" s="1"/>
      <c r="R107" s="1"/>
      <c r="S107" s="1"/>
      <c r="T107" s="1"/>
      <c r="AA107" s="1"/>
      <c r="AB107" s="1"/>
    </row>
    <row r="108" spans="1:2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3"/>
      <c r="N108" s="4"/>
      <c r="O108" s="5"/>
      <c r="P108" s="5"/>
      <c r="Q108" s="1"/>
      <c r="R108" s="1"/>
      <c r="S108" s="1"/>
      <c r="T108" s="1"/>
      <c r="AA108" s="1"/>
      <c r="AB108" s="1"/>
    </row>
    <row r="109" spans="1:2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3"/>
      <c r="N109" s="4"/>
      <c r="O109" s="5"/>
      <c r="P109" s="5"/>
      <c r="Q109" s="1"/>
      <c r="R109" s="1"/>
      <c r="S109" s="1"/>
      <c r="T109" s="1"/>
      <c r="AA109" s="1"/>
      <c r="AB109" s="1"/>
    </row>
    <row r="110" spans="1:2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3"/>
      <c r="N110" s="4"/>
      <c r="O110" s="5"/>
      <c r="P110" s="5"/>
      <c r="Q110" s="1"/>
      <c r="R110" s="1"/>
      <c r="S110" s="1"/>
      <c r="T110" s="1"/>
      <c r="AA110" s="1"/>
      <c r="AB110" s="1"/>
    </row>
    <row r="111" spans="1:2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3"/>
      <c r="N111" s="4"/>
      <c r="O111" s="5"/>
      <c r="P111" s="5"/>
      <c r="Q111" s="1"/>
      <c r="R111" s="1"/>
      <c r="S111" s="1"/>
      <c r="T111" s="1"/>
      <c r="AA111" s="1"/>
      <c r="AB111" s="1"/>
    </row>
    <row r="112" spans="1:2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3"/>
      <c r="N112" s="4"/>
      <c r="O112" s="5"/>
      <c r="P112" s="5"/>
      <c r="Q112" s="1"/>
      <c r="R112" s="1"/>
      <c r="S112" s="1"/>
      <c r="T112" s="1"/>
      <c r="AA112" s="1"/>
      <c r="AB112" s="1"/>
    </row>
    <row r="113" spans="1:2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3"/>
      <c r="N113" s="4"/>
      <c r="O113" s="5"/>
      <c r="P113" s="5"/>
      <c r="Q113" s="1"/>
      <c r="R113" s="1"/>
      <c r="S113" s="1"/>
      <c r="T113" s="1"/>
      <c r="AA113" s="1"/>
      <c r="AB113" s="1"/>
    </row>
    <row r="114" spans="1:2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3"/>
      <c r="N114" s="4"/>
      <c r="O114" s="5"/>
      <c r="P114" s="5"/>
      <c r="Q114" s="1"/>
      <c r="R114" s="1"/>
      <c r="S114" s="1"/>
      <c r="T114" s="1"/>
      <c r="AA114" s="1"/>
      <c r="AB114" s="1"/>
    </row>
    <row r="115" spans="1:2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3"/>
      <c r="N115" s="4"/>
      <c r="O115" s="5"/>
      <c r="P115" s="5"/>
      <c r="Q115" s="1"/>
      <c r="R115" s="1"/>
      <c r="S115" s="1"/>
      <c r="T115" s="1"/>
      <c r="AA115" s="1"/>
      <c r="AB115" s="1"/>
    </row>
    <row r="116" spans="1:2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3"/>
      <c r="N116" s="4"/>
      <c r="O116" s="5"/>
      <c r="P116" s="5"/>
      <c r="Q116" s="1"/>
      <c r="R116" s="1"/>
      <c r="S116" s="1"/>
      <c r="T116" s="1"/>
      <c r="AA116" s="1"/>
      <c r="AB116" s="1"/>
    </row>
    <row r="117" spans="1:2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3"/>
      <c r="N117" s="4"/>
      <c r="O117" s="5"/>
      <c r="P117" s="5"/>
      <c r="Q117" s="1"/>
      <c r="R117" s="1"/>
      <c r="S117" s="1"/>
      <c r="T117" s="1"/>
      <c r="AA117" s="1"/>
      <c r="AB117" s="1"/>
    </row>
    <row r="118" spans="1:2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3"/>
      <c r="N118" s="4"/>
      <c r="O118" s="5"/>
      <c r="P118" s="5"/>
      <c r="Q118" s="1"/>
      <c r="R118" s="1"/>
      <c r="S118" s="1"/>
      <c r="T118" s="1"/>
      <c r="AA118" s="1"/>
      <c r="AB118" s="1"/>
    </row>
    <row r="119" spans="1:2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3"/>
      <c r="N119" s="4"/>
      <c r="O119" s="5"/>
      <c r="P119" s="5"/>
      <c r="Q119" s="1"/>
      <c r="R119" s="1"/>
      <c r="S119" s="1"/>
      <c r="T119" s="1"/>
      <c r="AA119" s="1"/>
      <c r="AB119" s="1"/>
    </row>
    <row r="120" spans="1:2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3"/>
      <c r="N120" s="4"/>
      <c r="O120" s="5"/>
      <c r="P120" s="5"/>
      <c r="Q120" s="1"/>
      <c r="R120" s="1"/>
      <c r="S120" s="1"/>
      <c r="T120" s="1"/>
      <c r="AA120" s="1"/>
      <c r="AB120" s="1"/>
    </row>
    <row r="121" spans="1:2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3"/>
      <c r="N121" s="4"/>
      <c r="O121" s="5"/>
      <c r="P121" s="5"/>
      <c r="Q121" s="1"/>
      <c r="R121" s="1"/>
      <c r="S121" s="1"/>
      <c r="T121" s="1"/>
      <c r="AA121" s="1"/>
      <c r="AB121" s="1"/>
    </row>
    <row r="122" spans="1:2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3"/>
      <c r="N122" s="4"/>
      <c r="O122" s="5"/>
      <c r="P122" s="5"/>
      <c r="Q122" s="1"/>
      <c r="R122" s="1"/>
      <c r="S122" s="1"/>
      <c r="T122" s="1"/>
      <c r="AA122" s="1"/>
      <c r="AB122" s="1"/>
    </row>
    <row r="123" spans="1:2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"/>
      <c r="N123" s="4"/>
      <c r="O123" s="5"/>
      <c r="P123" s="5"/>
      <c r="Q123" s="1"/>
      <c r="R123" s="1"/>
      <c r="S123" s="1"/>
      <c r="T123" s="1"/>
      <c r="AA123" s="1"/>
      <c r="AB123" s="1"/>
    </row>
    <row r="124" spans="1:2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3"/>
      <c r="N124" s="4"/>
      <c r="O124" s="5"/>
      <c r="P124" s="5"/>
      <c r="Q124" s="1"/>
      <c r="R124" s="1"/>
      <c r="S124" s="1"/>
      <c r="T124" s="1"/>
      <c r="AA124" s="1"/>
      <c r="AB124" s="1"/>
    </row>
    <row r="125" spans="1:2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3"/>
      <c r="N125" s="4"/>
      <c r="O125" s="5"/>
      <c r="P125" s="5"/>
      <c r="Q125" s="1"/>
      <c r="R125" s="1"/>
      <c r="S125" s="1"/>
      <c r="T125" s="1"/>
      <c r="AA125" s="1"/>
      <c r="AB125" s="1"/>
    </row>
    <row r="126" spans="1:2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3"/>
      <c r="N126" s="4"/>
      <c r="O126" s="5"/>
      <c r="P126" s="5"/>
      <c r="Q126" s="1"/>
      <c r="R126" s="1"/>
      <c r="S126" s="1"/>
      <c r="T126" s="1"/>
      <c r="AA126" s="1"/>
      <c r="AB126" s="1"/>
    </row>
    <row r="127" spans="1:2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3"/>
      <c r="N127" s="4"/>
      <c r="O127" s="5"/>
      <c r="P127" s="5"/>
      <c r="Q127" s="1"/>
      <c r="R127" s="1"/>
      <c r="S127" s="1"/>
      <c r="T127" s="1"/>
      <c r="AA127" s="1"/>
      <c r="AB127" s="1"/>
    </row>
    <row r="128" spans="1: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3"/>
      <c r="N128" s="4"/>
      <c r="O128" s="5"/>
      <c r="P128" s="5"/>
      <c r="Q128" s="1"/>
      <c r="R128" s="1"/>
      <c r="S128" s="1"/>
      <c r="T128" s="1"/>
      <c r="AA128" s="1"/>
      <c r="AB128" s="1"/>
    </row>
    <row r="129" spans="1:2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3"/>
      <c r="N129" s="4"/>
      <c r="O129" s="5"/>
      <c r="P129" s="5"/>
      <c r="Q129" s="1"/>
      <c r="R129" s="1"/>
      <c r="S129" s="1"/>
      <c r="T129" s="1"/>
      <c r="AA129" s="1"/>
      <c r="AB129" s="1"/>
    </row>
    <row r="130" spans="1:2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3"/>
      <c r="N130" s="4"/>
      <c r="O130" s="5"/>
      <c r="P130" s="5"/>
      <c r="Q130" s="1"/>
      <c r="R130" s="1"/>
      <c r="S130" s="1"/>
      <c r="T130" s="1"/>
      <c r="AA130" s="1"/>
      <c r="AB130" s="1"/>
    </row>
    <row r="131" spans="1:2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3"/>
      <c r="N131" s="4"/>
      <c r="O131" s="5"/>
      <c r="P131" s="5"/>
      <c r="Q131" s="1"/>
      <c r="R131" s="1"/>
      <c r="S131" s="1"/>
      <c r="T131" s="1"/>
      <c r="AA131" s="1"/>
      <c r="AB131" s="1"/>
    </row>
    <row r="132" spans="1:2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3"/>
      <c r="N132" s="4"/>
      <c r="O132" s="5"/>
      <c r="P132" s="5"/>
      <c r="Q132" s="1"/>
      <c r="R132" s="1"/>
      <c r="S132" s="1"/>
      <c r="T132" s="1"/>
      <c r="AA132" s="1"/>
      <c r="AB132" s="1"/>
    </row>
    <row r="133" spans="1:2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3"/>
      <c r="N133" s="4"/>
      <c r="O133" s="5"/>
      <c r="P133" s="5"/>
      <c r="Q133" s="1"/>
      <c r="R133" s="1"/>
      <c r="S133" s="1"/>
      <c r="T133" s="1"/>
      <c r="AA133" s="1"/>
      <c r="AB133" s="1"/>
    </row>
    <row r="134" spans="1:2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3"/>
      <c r="N134" s="4"/>
      <c r="O134" s="5"/>
      <c r="P134" s="5"/>
      <c r="Q134" s="1"/>
      <c r="R134" s="1"/>
      <c r="S134" s="1"/>
      <c r="T134" s="1"/>
      <c r="AA134" s="1"/>
      <c r="AB134" s="1"/>
    </row>
    <row r="135" spans="1:2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3"/>
      <c r="N135" s="4"/>
      <c r="O135" s="5"/>
      <c r="P135" s="5"/>
      <c r="Q135" s="1"/>
      <c r="R135" s="1"/>
      <c r="S135" s="1"/>
      <c r="T135" s="1"/>
      <c r="AA135" s="1"/>
      <c r="AB135" s="1"/>
    </row>
    <row r="136" spans="1:2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3"/>
      <c r="N136" s="4"/>
      <c r="O136" s="5"/>
      <c r="P136" s="5"/>
      <c r="Q136" s="1"/>
      <c r="R136" s="1"/>
      <c r="S136" s="1"/>
      <c r="T136" s="1"/>
      <c r="AA136" s="1"/>
      <c r="AB136" s="1"/>
    </row>
    <row r="137" spans="1:2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3"/>
      <c r="N137" s="4"/>
      <c r="O137" s="5"/>
      <c r="P137" s="5"/>
      <c r="Q137" s="1"/>
      <c r="R137" s="1"/>
      <c r="S137" s="1"/>
      <c r="T137" s="1"/>
      <c r="AA137" s="1"/>
      <c r="AB137" s="1"/>
    </row>
    <row r="138" spans="1:2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3"/>
      <c r="N138" s="4"/>
      <c r="O138" s="5"/>
      <c r="P138" s="5"/>
      <c r="Q138" s="1"/>
      <c r="R138" s="1"/>
      <c r="S138" s="1"/>
      <c r="T138" s="1"/>
      <c r="AA138" s="1"/>
      <c r="AB138" s="1"/>
    </row>
    <row r="139" spans="1:2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3"/>
      <c r="N139" s="4"/>
      <c r="O139" s="5"/>
      <c r="P139" s="5"/>
      <c r="Q139" s="1"/>
      <c r="R139" s="1"/>
      <c r="S139" s="1"/>
      <c r="T139" s="1"/>
      <c r="AA139" s="1"/>
      <c r="AB139" s="1"/>
    </row>
    <row r="140" spans="1:2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3"/>
      <c r="N140" s="4"/>
      <c r="O140" s="5"/>
      <c r="P140" s="5"/>
      <c r="Q140" s="1"/>
      <c r="R140" s="1"/>
      <c r="S140" s="1"/>
      <c r="T140" s="1"/>
      <c r="AA140" s="1"/>
      <c r="AB140" s="1"/>
    </row>
    <row r="141" spans="1:2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3"/>
      <c r="N141" s="4"/>
      <c r="O141" s="5"/>
      <c r="P141" s="5"/>
      <c r="Q141" s="1"/>
      <c r="R141" s="1"/>
      <c r="S141" s="1"/>
      <c r="T141" s="1"/>
      <c r="AA141" s="1"/>
      <c r="AB141" s="1"/>
    </row>
    <row r="142" spans="1:2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3"/>
      <c r="N142" s="4"/>
      <c r="O142" s="5"/>
      <c r="P142" s="5"/>
      <c r="Q142" s="1"/>
      <c r="R142" s="1"/>
      <c r="S142" s="1"/>
      <c r="T142" s="1"/>
      <c r="AA142" s="1"/>
      <c r="AB142" s="1"/>
    </row>
    <row r="143" spans="1:2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3"/>
      <c r="N143" s="4"/>
      <c r="O143" s="5"/>
      <c r="P143" s="5"/>
      <c r="Q143" s="1"/>
      <c r="R143" s="1"/>
      <c r="S143" s="1"/>
      <c r="T143" s="1"/>
      <c r="AA143" s="1"/>
      <c r="AB143" s="1"/>
    </row>
    <row r="144" spans="1:2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3"/>
      <c r="N144" s="4"/>
      <c r="O144" s="5"/>
      <c r="P144" s="5"/>
      <c r="Q144" s="1"/>
      <c r="R144" s="1"/>
      <c r="S144" s="1"/>
      <c r="T144" s="1"/>
      <c r="AA144" s="1"/>
      <c r="AB144" s="1"/>
    </row>
    <row r="145" spans="1:2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3"/>
      <c r="N145" s="4"/>
      <c r="O145" s="5"/>
      <c r="P145" s="5"/>
      <c r="Q145" s="1"/>
      <c r="R145" s="1"/>
      <c r="S145" s="1"/>
      <c r="T145" s="1"/>
      <c r="AA145" s="1"/>
      <c r="AB145" s="1"/>
    </row>
    <row r="146" spans="1:2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3"/>
      <c r="N146" s="4"/>
      <c r="O146" s="5"/>
      <c r="P146" s="5"/>
      <c r="Q146" s="1"/>
      <c r="R146" s="1"/>
      <c r="S146" s="1"/>
      <c r="T146" s="1"/>
      <c r="AA146" s="1"/>
      <c r="AB146" s="1"/>
    </row>
    <row r="147" spans="1:2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3"/>
      <c r="N147" s="4"/>
      <c r="O147" s="5"/>
      <c r="P147" s="5"/>
      <c r="Q147" s="1"/>
      <c r="R147" s="1"/>
      <c r="S147" s="1"/>
      <c r="T147" s="1"/>
      <c r="AA147" s="1"/>
      <c r="AB147" s="1"/>
    </row>
    <row r="148" spans="1:2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3"/>
      <c r="N148" s="4"/>
      <c r="O148" s="5"/>
      <c r="P148" s="5"/>
      <c r="Q148" s="1"/>
      <c r="R148" s="1"/>
      <c r="S148" s="1"/>
      <c r="T148" s="1"/>
      <c r="AA148" s="1"/>
      <c r="AB148" s="1"/>
    </row>
    <row r="149" spans="1:2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3"/>
      <c r="N149" s="4"/>
      <c r="O149" s="5"/>
      <c r="P149" s="5"/>
      <c r="Q149" s="1"/>
      <c r="R149" s="1"/>
      <c r="S149" s="1"/>
      <c r="T149" s="1"/>
      <c r="AA149" s="1"/>
      <c r="AB149" s="1"/>
    </row>
    <row r="150" spans="1:2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3"/>
      <c r="N150" s="4"/>
      <c r="O150" s="5"/>
      <c r="P150" s="5"/>
      <c r="Q150" s="1"/>
      <c r="R150" s="1"/>
      <c r="S150" s="1"/>
      <c r="T150" s="1"/>
      <c r="AA150" s="1"/>
      <c r="AB150" s="1"/>
    </row>
    <row r="151" spans="1:2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3"/>
      <c r="N151" s="4"/>
      <c r="O151" s="5"/>
      <c r="P151" s="5"/>
      <c r="Q151" s="1"/>
      <c r="R151" s="1"/>
      <c r="S151" s="1"/>
      <c r="T151" s="1"/>
      <c r="AA151" s="1"/>
      <c r="AB151" s="1"/>
    </row>
    <row r="152" spans="1:2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3"/>
      <c r="N152" s="4"/>
      <c r="O152" s="5"/>
      <c r="P152" s="5"/>
      <c r="Q152" s="1"/>
      <c r="R152" s="1"/>
      <c r="S152" s="1"/>
      <c r="T152" s="1"/>
      <c r="AA152" s="1"/>
      <c r="AB152" s="1"/>
    </row>
    <row r="153" spans="1:2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3"/>
      <c r="N153" s="4"/>
      <c r="O153" s="5"/>
      <c r="P153" s="5"/>
      <c r="Q153" s="1"/>
      <c r="R153" s="1"/>
      <c r="S153" s="1"/>
      <c r="T153" s="1"/>
      <c r="AA153" s="1"/>
      <c r="AB153" s="1"/>
    </row>
    <row r="154" spans="1:2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3"/>
      <c r="N154" s="4"/>
      <c r="O154" s="5"/>
      <c r="P154" s="5"/>
      <c r="Q154" s="1"/>
      <c r="R154" s="1"/>
      <c r="S154" s="1"/>
      <c r="T154" s="1"/>
      <c r="AA154" s="1"/>
      <c r="AB154" s="1"/>
    </row>
    <row r="155" spans="1:2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3"/>
      <c r="N155" s="4"/>
      <c r="O155" s="5"/>
      <c r="P155" s="5"/>
      <c r="Q155" s="1"/>
      <c r="R155" s="1"/>
      <c r="S155" s="1"/>
      <c r="T155" s="1"/>
      <c r="AA155" s="1"/>
      <c r="AB155" s="1"/>
    </row>
    <row r="156" spans="1:2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3"/>
      <c r="N156" s="4"/>
      <c r="O156" s="5"/>
      <c r="P156" s="5"/>
      <c r="Q156" s="1"/>
      <c r="R156" s="1"/>
      <c r="S156" s="1"/>
      <c r="T156" s="1"/>
      <c r="AA156" s="1"/>
      <c r="AB156" s="1"/>
    </row>
    <row r="157" spans="1:2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3"/>
      <c r="N157" s="4"/>
      <c r="O157" s="5"/>
      <c r="P157" s="5"/>
      <c r="Q157" s="1"/>
      <c r="R157" s="1"/>
      <c r="S157" s="1"/>
      <c r="T157" s="1"/>
      <c r="AA157" s="1"/>
      <c r="AB157" s="1"/>
    </row>
    <row r="158" spans="1:2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3"/>
      <c r="N158" s="4"/>
      <c r="O158" s="5"/>
      <c r="P158" s="5"/>
      <c r="Q158" s="1"/>
      <c r="R158" s="1"/>
      <c r="S158" s="1"/>
      <c r="T158" s="1"/>
      <c r="AA158" s="1"/>
      <c r="AB158" s="1"/>
    </row>
    <row r="159" spans="1:2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3"/>
      <c r="N159" s="4"/>
      <c r="O159" s="5"/>
      <c r="P159" s="5"/>
      <c r="Q159" s="1"/>
      <c r="R159" s="1"/>
      <c r="S159" s="1"/>
      <c r="T159" s="1"/>
      <c r="AA159" s="1"/>
      <c r="AB159" s="1"/>
    </row>
    <row r="160" spans="1:2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3"/>
      <c r="N160" s="4"/>
      <c r="O160" s="5"/>
      <c r="P160" s="5"/>
      <c r="Q160" s="1"/>
      <c r="R160" s="1"/>
      <c r="S160" s="1"/>
      <c r="T160" s="1"/>
      <c r="AA160" s="1"/>
      <c r="AB160" s="1"/>
    </row>
    <row r="161" spans="1:2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3"/>
      <c r="N161" s="4"/>
      <c r="O161" s="5"/>
      <c r="P161" s="5"/>
      <c r="Q161" s="1"/>
      <c r="R161" s="1"/>
      <c r="S161" s="1"/>
      <c r="T161" s="1"/>
      <c r="AA161" s="1"/>
      <c r="AB161" s="1"/>
    </row>
    <row r="162" spans="1:2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3"/>
      <c r="N162" s="4"/>
      <c r="O162" s="5"/>
      <c r="P162" s="5"/>
      <c r="Q162" s="1"/>
      <c r="R162" s="1"/>
      <c r="S162" s="1"/>
      <c r="T162" s="1"/>
      <c r="AA162" s="1"/>
      <c r="AB162" s="1"/>
    </row>
    <row r="163" spans="1:2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3"/>
      <c r="N163" s="4"/>
      <c r="O163" s="5"/>
      <c r="P163" s="5"/>
      <c r="Q163" s="1"/>
      <c r="R163" s="1"/>
      <c r="S163" s="1"/>
      <c r="T163" s="1"/>
      <c r="AA163" s="1"/>
      <c r="AB163" s="1"/>
    </row>
    <row r="164" spans="1:2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3"/>
      <c r="N164" s="4"/>
      <c r="O164" s="5"/>
      <c r="P164" s="5"/>
      <c r="Q164" s="1"/>
      <c r="R164" s="1"/>
      <c r="S164" s="1"/>
      <c r="T164" s="1"/>
      <c r="AA164" s="1"/>
      <c r="AB164" s="1"/>
    </row>
    <row r="165" spans="1:2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3"/>
      <c r="N165" s="4"/>
      <c r="O165" s="5"/>
      <c r="P165" s="5"/>
      <c r="Q165" s="1"/>
      <c r="R165" s="1"/>
      <c r="S165" s="1"/>
      <c r="T165" s="1"/>
      <c r="AA165" s="1"/>
      <c r="AB165" s="1"/>
    </row>
    <row r="166" spans="1:2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3"/>
      <c r="N166" s="4"/>
      <c r="O166" s="5"/>
      <c r="P166" s="5"/>
      <c r="Q166" s="1"/>
      <c r="R166" s="1"/>
      <c r="S166" s="1"/>
      <c r="T166" s="1"/>
      <c r="AA166" s="1"/>
      <c r="AB166" s="1"/>
    </row>
    <row r="167" spans="1:2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3"/>
      <c r="N167" s="4"/>
      <c r="O167" s="5"/>
      <c r="P167" s="5"/>
      <c r="Q167" s="1"/>
      <c r="R167" s="1"/>
      <c r="S167" s="1"/>
      <c r="T167" s="1"/>
      <c r="AA167" s="1"/>
      <c r="AB167" s="1"/>
    </row>
    <row r="168" spans="1:2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3"/>
      <c r="N168" s="4"/>
      <c r="O168" s="5"/>
      <c r="P168" s="5"/>
      <c r="Q168" s="1"/>
      <c r="R168" s="1"/>
      <c r="S168" s="1"/>
      <c r="T168" s="1"/>
      <c r="AA168" s="1"/>
      <c r="AB168" s="1"/>
    </row>
    <row r="169" spans="1:2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3"/>
      <c r="N169" s="4"/>
      <c r="O169" s="5"/>
      <c r="P169" s="5"/>
      <c r="Q169" s="1"/>
      <c r="R169" s="1"/>
      <c r="S169" s="1"/>
      <c r="T169" s="1"/>
      <c r="AA169" s="1"/>
      <c r="AB169" s="1"/>
    </row>
    <row r="170" spans="1:2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3"/>
      <c r="N170" s="4"/>
      <c r="O170" s="5"/>
      <c r="P170" s="5"/>
      <c r="Q170" s="1"/>
      <c r="R170" s="1"/>
      <c r="S170" s="1"/>
      <c r="T170" s="1"/>
      <c r="AA170" s="1"/>
      <c r="AB170" s="1"/>
    </row>
    <row r="171" spans="1:2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3"/>
      <c r="N171" s="4"/>
      <c r="O171" s="5"/>
      <c r="P171" s="5"/>
      <c r="Q171" s="1"/>
      <c r="R171" s="1"/>
      <c r="S171" s="1"/>
      <c r="T171" s="1"/>
      <c r="AA171" s="1"/>
      <c r="AB171" s="1"/>
    </row>
    <row r="172" spans="1:2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3"/>
      <c r="N172" s="4"/>
      <c r="O172" s="5"/>
      <c r="P172" s="5"/>
      <c r="Q172" s="1"/>
      <c r="R172" s="1"/>
      <c r="S172" s="1"/>
      <c r="T172" s="1"/>
      <c r="AA172" s="1"/>
      <c r="AB172" s="1"/>
    </row>
    <row r="173" spans="1:2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3"/>
      <c r="N173" s="4"/>
      <c r="O173" s="5"/>
      <c r="P173" s="5"/>
      <c r="Q173" s="1"/>
      <c r="R173" s="1"/>
      <c r="S173" s="1"/>
      <c r="T173" s="1"/>
      <c r="AA173" s="1"/>
      <c r="AB173" s="1"/>
    </row>
    <row r="174" spans="1:2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3"/>
      <c r="N174" s="4"/>
      <c r="O174" s="5"/>
      <c r="P174" s="5"/>
      <c r="Q174" s="1"/>
      <c r="R174" s="1"/>
      <c r="S174" s="1"/>
      <c r="T174" s="1"/>
      <c r="AA174" s="1"/>
      <c r="AB174" s="1"/>
    </row>
    <row r="175" spans="1:2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3"/>
      <c r="N175" s="4"/>
      <c r="O175" s="5"/>
      <c r="P175" s="5"/>
      <c r="Q175" s="1"/>
      <c r="R175" s="1"/>
      <c r="S175" s="1"/>
      <c r="T175" s="1"/>
      <c r="AA175" s="1"/>
      <c r="AB175" s="1"/>
    </row>
    <row r="176" spans="1:2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3"/>
      <c r="N176" s="4"/>
      <c r="O176" s="5"/>
      <c r="P176" s="5"/>
      <c r="Q176" s="1"/>
      <c r="R176" s="1"/>
      <c r="S176" s="1"/>
      <c r="T176" s="1"/>
      <c r="AA176" s="1"/>
      <c r="AB176" s="1"/>
    </row>
    <row r="177" spans="1:2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3"/>
      <c r="N177" s="4"/>
      <c r="O177" s="5"/>
      <c r="P177" s="5"/>
      <c r="Q177" s="1"/>
      <c r="R177" s="1"/>
      <c r="S177" s="1"/>
      <c r="T177" s="1"/>
      <c r="AA177" s="1"/>
      <c r="AB177" s="1"/>
    </row>
    <row r="178" spans="1:2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3"/>
      <c r="N178" s="4"/>
      <c r="O178" s="5"/>
      <c r="P178" s="5"/>
      <c r="Q178" s="1"/>
      <c r="R178" s="1"/>
      <c r="S178" s="1"/>
      <c r="T178" s="1"/>
      <c r="AA178" s="1"/>
      <c r="AB178" s="1"/>
    </row>
    <row r="179" spans="1:2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3"/>
      <c r="N179" s="4"/>
      <c r="O179" s="5"/>
      <c r="P179" s="5"/>
      <c r="Q179" s="1"/>
      <c r="R179" s="1"/>
      <c r="S179" s="1"/>
      <c r="T179" s="1"/>
      <c r="AA179" s="1"/>
      <c r="AB179" s="1"/>
    </row>
    <row r="180" spans="1:2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3"/>
      <c r="N180" s="4"/>
      <c r="O180" s="5"/>
      <c r="P180" s="5"/>
      <c r="Q180" s="1"/>
      <c r="R180" s="1"/>
      <c r="S180" s="1"/>
      <c r="T180" s="1"/>
      <c r="AA180" s="1"/>
      <c r="AB180" s="1"/>
    </row>
    <row r="181" spans="1:2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3"/>
      <c r="N181" s="4"/>
      <c r="O181" s="5"/>
      <c r="P181" s="5"/>
      <c r="Q181" s="1"/>
      <c r="R181" s="1"/>
      <c r="S181" s="1"/>
      <c r="T181" s="1"/>
      <c r="AA181" s="1"/>
      <c r="AB181" s="1"/>
    </row>
    <row r="182" spans="1:2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3"/>
      <c r="N182" s="4"/>
      <c r="O182" s="5"/>
      <c r="P182" s="5"/>
      <c r="Q182" s="1"/>
      <c r="R182" s="1"/>
      <c r="S182" s="1"/>
      <c r="T182" s="1"/>
      <c r="AA182" s="1"/>
      <c r="AB182" s="1"/>
    </row>
    <row r="183" spans="1:2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3"/>
      <c r="N183" s="4"/>
      <c r="O183" s="5"/>
      <c r="P183" s="5"/>
      <c r="Q183" s="1"/>
      <c r="R183" s="1"/>
      <c r="S183" s="1"/>
      <c r="T183" s="1"/>
      <c r="AA183" s="1"/>
      <c r="AB183" s="1"/>
    </row>
    <row r="184" spans="1:2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3"/>
      <c r="N184" s="4"/>
      <c r="O184" s="5"/>
      <c r="P184" s="5"/>
      <c r="Q184" s="1"/>
      <c r="R184" s="1"/>
      <c r="S184" s="1"/>
      <c r="T184" s="1"/>
      <c r="AA184" s="1"/>
      <c r="AB184" s="1"/>
    </row>
    <row r="185" spans="1:2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3"/>
      <c r="N185" s="4"/>
      <c r="O185" s="5"/>
      <c r="P185" s="5"/>
      <c r="Q185" s="1"/>
      <c r="R185" s="1"/>
      <c r="S185" s="1"/>
      <c r="T185" s="1"/>
      <c r="AA185" s="1"/>
      <c r="AB185" s="1"/>
    </row>
    <row r="186" spans="1:2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3"/>
      <c r="N186" s="4"/>
      <c r="O186" s="5"/>
      <c r="P186" s="5"/>
      <c r="Q186" s="1"/>
      <c r="R186" s="1"/>
      <c r="S186" s="1"/>
      <c r="T186" s="1"/>
      <c r="AA186" s="1"/>
      <c r="AB186" s="1"/>
    </row>
    <row r="187" spans="1:2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3"/>
      <c r="N187" s="4"/>
      <c r="O187" s="5"/>
      <c r="P187" s="5"/>
      <c r="Q187" s="1"/>
      <c r="R187" s="1"/>
      <c r="S187" s="1"/>
      <c r="T187" s="1"/>
      <c r="AA187" s="1"/>
      <c r="AB187" s="1"/>
    </row>
    <row r="188" spans="1:2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3"/>
      <c r="N188" s="4"/>
      <c r="O188" s="5"/>
      <c r="P188" s="5"/>
      <c r="Q188" s="1"/>
      <c r="R188" s="1"/>
      <c r="S188" s="1"/>
      <c r="T188" s="1"/>
      <c r="AA188" s="1"/>
      <c r="AB188" s="1"/>
    </row>
    <row r="189" spans="1:2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3"/>
      <c r="N189" s="4"/>
      <c r="O189" s="5"/>
      <c r="P189" s="5"/>
      <c r="Q189" s="1"/>
      <c r="R189" s="1"/>
      <c r="S189" s="1"/>
      <c r="T189" s="1"/>
      <c r="AA189" s="1"/>
      <c r="AB189" s="1"/>
    </row>
    <row r="190" spans="1:2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3"/>
      <c r="N190" s="4"/>
      <c r="O190" s="5"/>
      <c r="P190" s="5"/>
      <c r="Q190" s="1"/>
      <c r="R190" s="1"/>
      <c r="S190" s="1"/>
      <c r="T190" s="1"/>
      <c r="AA190" s="1"/>
      <c r="AB190" s="1"/>
    </row>
    <row r="191" spans="1:2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3"/>
      <c r="N191" s="4"/>
      <c r="O191" s="5"/>
      <c r="P191" s="5"/>
      <c r="Q191" s="1"/>
      <c r="R191" s="1"/>
      <c r="S191" s="1"/>
      <c r="T191" s="1"/>
      <c r="AA191" s="1"/>
      <c r="AB191" s="1"/>
    </row>
    <row r="192" spans="1:2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3"/>
      <c r="N192" s="4"/>
      <c r="O192" s="5"/>
      <c r="P192" s="5"/>
      <c r="Q192" s="1"/>
      <c r="R192" s="1"/>
      <c r="S192" s="1"/>
      <c r="T192" s="1"/>
      <c r="AA192" s="1"/>
      <c r="AB192" s="1"/>
    </row>
    <row r="193" spans="1:2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3"/>
      <c r="N193" s="4"/>
      <c r="O193" s="5"/>
      <c r="P193" s="5"/>
      <c r="Q193" s="1"/>
      <c r="R193" s="1"/>
      <c r="S193" s="1"/>
      <c r="T193" s="1"/>
      <c r="AA193" s="1"/>
      <c r="AB193" s="1"/>
    </row>
    <row r="194" spans="1:2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3"/>
      <c r="N194" s="4"/>
      <c r="O194" s="5"/>
      <c r="P194" s="5"/>
      <c r="Q194" s="1"/>
      <c r="R194" s="1"/>
      <c r="S194" s="1"/>
      <c r="T194" s="1"/>
      <c r="AA194" s="1"/>
      <c r="AB194" s="1"/>
    </row>
    <row r="195" spans="1:2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3"/>
      <c r="N195" s="4"/>
      <c r="O195" s="5"/>
      <c r="P195" s="5"/>
      <c r="Q195" s="1"/>
      <c r="R195" s="1"/>
      <c r="S195" s="1"/>
      <c r="T195" s="1"/>
      <c r="AA195" s="1"/>
      <c r="AB195" s="1"/>
    </row>
    <row r="196" spans="1:2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3"/>
      <c r="N196" s="4"/>
      <c r="O196" s="5"/>
      <c r="P196" s="5"/>
      <c r="Q196" s="1"/>
      <c r="R196" s="1"/>
      <c r="S196" s="1"/>
      <c r="T196" s="1"/>
      <c r="AA196" s="1"/>
      <c r="AB196" s="1"/>
    </row>
    <row r="197" spans="1:2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3"/>
      <c r="N197" s="4"/>
      <c r="O197" s="5"/>
      <c r="P197" s="5"/>
      <c r="Q197" s="1"/>
      <c r="R197" s="1"/>
      <c r="S197" s="1"/>
      <c r="T197" s="1"/>
      <c r="AA197" s="1"/>
      <c r="AB197" s="1"/>
    </row>
    <row r="198" spans="1:2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3"/>
      <c r="N198" s="4"/>
      <c r="O198" s="5"/>
      <c r="P198" s="5"/>
      <c r="Q198" s="1"/>
      <c r="R198" s="1"/>
      <c r="S198" s="1"/>
      <c r="T198" s="1"/>
      <c r="AA198" s="1"/>
      <c r="AB198" s="1"/>
    </row>
    <row r="199" spans="1:2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3"/>
      <c r="N199" s="4"/>
      <c r="O199" s="5"/>
      <c r="P199" s="5"/>
      <c r="Q199" s="1"/>
      <c r="R199" s="1"/>
      <c r="S199" s="1"/>
      <c r="T199" s="1"/>
      <c r="AA199" s="1"/>
      <c r="AB199" s="1"/>
    </row>
    <row r="200" spans="1:2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3"/>
      <c r="N200" s="4"/>
      <c r="O200" s="5"/>
      <c r="P200" s="5"/>
      <c r="Q200" s="1"/>
      <c r="R200" s="1"/>
      <c r="S200" s="1"/>
      <c r="T200" s="1"/>
      <c r="AA200" s="1"/>
      <c r="AB200" s="1"/>
    </row>
    <row r="201" spans="1:2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3"/>
      <c r="N201" s="4"/>
      <c r="O201" s="5"/>
      <c r="P201" s="5"/>
      <c r="Q201" s="1"/>
      <c r="R201" s="1"/>
      <c r="S201" s="1"/>
      <c r="T201" s="1"/>
      <c r="AA201" s="1"/>
      <c r="AB201" s="1"/>
    </row>
    <row r="202" spans="1:2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3"/>
      <c r="N202" s="4"/>
      <c r="O202" s="5"/>
      <c r="P202" s="5"/>
      <c r="Q202" s="1"/>
      <c r="R202" s="1"/>
      <c r="S202" s="1"/>
      <c r="T202" s="1"/>
      <c r="AA202" s="1"/>
      <c r="AB202" s="1"/>
    </row>
    <row r="203" spans="1:2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3"/>
      <c r="N203" s="4"/>
      <c r="O203" s="5"/>
      <c r="P203" s="5"/>
      <c r="Q203" s="1"/>
      <c r="R203" s="1"/>
      <c r="S203" s="1"/>
      <c r="T203" s="1"/>
      <c r="AA203" s="1"/>
      <c r="AB203" s="1"/>
    </row>
    <row r="204" spans="1:2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3"/>
      <c r="N204" s="4"/>
      <c r="O204" s="5"/>
      <c r="P204" s="5"/>
      <c r="Q204" s="1"/>
      <c r="R204" s="1"/>
      <c r="S204" s="1"/>
      <c r="T204" s="1"/>
      <c r="AA204" s="1"/>
      <c r="AB204" s="1"/>
    </row>
    <row r="205" spans="1:2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3"/>
      <c r="N205" s="4"/>
      <c r="O205" s="5"/>
      <c r="P205" s="5"/>
      <c r="Q205" s="1"/>
      <c r="R205" s="1"/>
      <c r="S205" s="1"/>
      <c r="T205" s="1"/>
      <c r="AA205" s="1"/>
      <c r="AB205" s="1"/>
    </row>
    <row r="206" spans="1:2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3"/>
      <c r="N206" s="4"/>
      <c r="O206" s="5"/>
      <c r="P206" s="5"/>
      <c r="Q206" s="1"/>
      <c r="R206" s="1"/>
      <c r="S206" s="1"/>
      <c r="T206" s="1"/>
      <c r="AA206" s="1"/>
      <c r="AB206" s="1"/>
    </row>
    <row r="207" spans="1:2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3"/>
      <c r="N207" s="4"/>
      <c r="O207" s="5"/>
      <c r="P207" s="5"/>
      <c r="Q207" s="1"/>
      <c r="R207" s="1"/>
      <c r="S207" s="1"/>
      <c r="T207" s="1"/>
      <c r="AA207" s="1"/>
      <c r="AB207" s="1"/>
    </row>
    <row r="208" spans="1:2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3"/>
      <c r="N208" s="4"/>
      <c r="O208" s="5"/>
      <c r="P208" s="5"/>
      <c r="Q208" s="1"/>
      <c r="R208" s="1"/>
      <c r="S208" s="1"/>
      <c r="T208" s="1"/>
      <c r="AA208" s="1"/>
      <c r="AB208" s="1"/>
    </row>
    <row r="209" spans="1:2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3"/>
      <c r="N209" s="4"/>
      <c r="O209" s="5"/>
      <c r="P209" s="5"/>
      <c r="Q209" s="1"/>
      <c r="R209" s="1"/>
      <c r="S209" s="1"/>
      <c r="T209" s="1"/>
      <c r="AA209" s="1"/>
      <c r="AB209" s="1"/>
    </row>
    <row r="210" spans="1:2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3"/>
      <c r="N210" s="4"/>
      <c r="O210" s="5"/>
      <c r="P210" s="5"/>
      <c r="Q210" s="1"/>
      <c r="R210" s="1"/>
      <c r="S210" s="1"/>
      <c r="T210" s="1"/>
      <c r="AA210" s="1"/>
      <c r="AB210" s="1"/>
    </row>
    <row r="211" spans="1:2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3"/>
      <c r="N211" s="4"/>
      <c r="O211" s="5"/>
      <c r="P211" s="5"/>
      <c r="Q211" s="1"/>
      <c r="R211" s="1"/>
      <c r="S211" s="1"/>
      <c r="T211" s="1"/>
      <c r="AA211" s="1"/>
      <c r="AB211" s="1"/>
    </row>
    <row r="212" spans="1:28" ht="15.75" customHeight="1"/>
    <row r="213" spans="1:28" ht="15.75" customHeight="1"/>
    <row r="214" spans="1:28" ht="15.75" customHeight="1"/>
    <row r="215" spans="1:28" ht="15.75" customHeight="1"/>
    <row r="216" spans="1:28" ht="15.75" customHeight="1"/>
    <row r="217" spans="1:28" ht="15.75" customHeight="1"/>
    <row r="218" spans="1:28" ht="15.75" customHeight="1"/>
    <row r="219" spans="1:28" ht="15.75" customHeight="1"/>
    <row r="220" spans="1:28" ht="15.75" customHeight="1"/>
    <row r="221" spans="1:28" ht="15.75" customHeight="1"/>
    <row r="222" spans="1:28" ht="15.75" customHeight="1"/>
    <row r="223" spans="1:28" ht="15.75" customHeight="1"/>
    <row r="224" spans="1:2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</sheetData>
  <mergeCells count="7">
    <mergeCell ref="B52:E52"/>
    <mergeCell ref="G52:L52"/>
    <mergeCell ref="AA47:AB47"/>
    <mergeCell ref="B2:E7"/>
    <mergeCell ref="G2:L7"/>
    <mergeCell ref="G8:L8"/>
    <mergeCell ref="G9:G10"/>
  </mergeCells>
  <printOptions horizontalCentered="1"/>
  <pageMargins left="0.19685039370078741" right="0.23622047244094491" top="0.31496062992125984" bottom="0.27559055118110237" header="0" footer="0"/>
  <pageSetup paperSize="9" scale="35" orientation="landscape" r:id="rId1"/>
  <rowBreaks count="2" manualBreakCount="2">
    <brk id="56" max="16383" man="1"/>
    <brk id="6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N950"/>
  <sheetViews>
    <sheetView tabSelected="1" zoomScaleNormal="100" zoomScaleSheetLayoutView="90" workbookViewId="0">
      <pane xSplit="1" topLeftCell="C1" activePane="topRight" state="frozen"/>
      <selection activeCell="I33" sqref="I33"/>
      <selection pane="topRight" activeCell="I14" sqref="I14"/>
    </sheetView>
  </sheetViews>
  <sheetFormatPr defaultColWidth="14.42578125" defaultRowHeight="15" customHeight="1"/>
  <cols>
    <col min="1" max="1" width="27.28515625" style="107" customWidth="1"/>
    <col min="2" max="2" width="7.42578125" style="107" customWidth="1"/>
    <col min="3" max="3" width="4.140625" style="107" customWidth="1"/>
    <col min="4" max="4" width="11.140625" style="107" customWidth="1"/>
    <col min="5" max="5" width="10.28515625" style="107" bestFit="1" customWidth="1"/>
    <col min="6" max="6" width="11.5703125" style="107" bestFit="1" customWidth="1"/>
    <col min="7" max="7" width="16.5703125" style="107" bestFit="1" customWidth="1"/>
    <col min="8" max="8" width="16.5703125" style="107" customWidth="1"/>
    <col min="9" max="9" width="18.7109375" style="107" bestFit="1" customWidth="1"/>
    <col min="10" max="10" width="18.7109375" style="107" customWidth="1"/>
    <col min="11" max="11" width="31.5703125" style="107" bestFit="1" customWidth="1"/>
    <col min="12" max="12" width="18.140625" style="111" bestFit="1" customWidth="1"/>
    <col min="13" max="13" width="14.42578125" style="107"/>
    <col min="14" max="14" width="16" style="107" bestFit="1" customWidth="1"/>
    <col min="15" max="15" width="8.7109375" style="107" bestFit="1" customWidth="1"/>
    <col min="16" max="16384" width="14.42578125" style="107"/>
  </cols>
  <sheetData>
    <row r="1" spans="1:14" ht="15" customHeight="1">
      <c r="A1" s="438"/>
      <c r="B1" s="441"/>
      <c r="C1" s="441"/>
      <c r="D1" s="441"/>
      <c r="E1" s="444" t="s">
        <v>128</v>
      </c>
      <c r="F1" s="444"/>
      <c r="G1" s="444"/>
      <c r="H1" s="444"/>
      <c r="I1" s="445"/>
      <c r="J1" s="104"/>
      <c r="K1" s="105"/>
      <c r="L1" s="106"/>
    </row>
    <row r="2" spans="1:14" ht="15" customHeight="1">
      <c r="A2" s="439"/>
      <c r="B2" s="442"/>
      <c r="C2" s="442"/>
      <c r="D2" s="442"/>
      <c r="E2" s="446"/>
      <c r="F2" s="446"/>
      <c r="G2" s="446"/>
      <c r="H2" s="446"/>
      <c r="I2" s="447"/>
      <c r="J2" s="104"/>
      <c r="K2" s="105"/>
      <c r="L2" s="106"/>
    </row>
    <row r="3" spans="1:14" ht="15" customHeight="1">
      <c r="A3" s="439"/>
      <c r="B3" s="442"/>
      <c r="C3" s="442"/>
      <c r="D3" s="442"/>
      <c r="E3" s="446"/>
      <c r="F3" s="446"/>
      <c r="G3" s="446"/>
      <c r="H3" s="446"/>
      <c r="I3" s="447"/>
      <c r="J3" s="104"/>
      <c r="K3" s="105"/>
      <c r="L3" s="106"/>
    </row>
    <row r="4" spans="1:14" ht="41.25" customHeight="1">
      <c r="A4" s="439"/>
      <c r="B4" s="442"/>
      <c r="C4" s="442"/>
      <c r="D4" s="442"/>
      <c r="E4" s="446"/>
      <c r="F4" s="446"/>
      <c r="G4" s="446"/>
      <c r="H4" s="446"/>
      <c r="I4" s="447"/>
      <c r="J4" s="104"/>
      <c r="K4" s="105"/>
      <c r="L4" s="106"/>
    </row>
    <row r="5" spans="1:14" ht="18.75" customHeight="1">
      <c r="A5" s="439"/>
      <c r="B5" s="442"/>
      <c r="C5" s="442"/>
      <c r="D5" s="442"/>
      <c r="E5" s="446"/>
      <c r="F5" s="446"/>
      <c r="G5" s="446"/>
      <c r="H5" s="446"/>
      <c r="I5" s="447"/>
      <c r="J5" s="104"/>
      <c r="K5" s="105"/>
      <c r="L5" s="106"/>
    </row>
    <row r="6" spans="1:14" ht="24.75" customHeight="1" thickBot="1">
      <c r="A6" s="440"/>
      <c r="B6" s="443"/>
      <c r="C6" s="443"/>
      <c r="D6" s="443"/>
      <c r="E6" s="448"/>
      <c r="F6" s="448"/>
      <c r="G6" s="448"/>
      <c r="H6" s="448"/>
      <c r="I6" s="449"/>
      <c r="J6" s="104"/>
      <c r="K6" s="105"/>
      <c r="L6" s="106"/>
    </row>
    <row r="7" spans="1:14" ht="27" customHeight="1" thickBot="1">
      <c r="A7" s="108" t="s">
        <v>50</v>
      </c>
      <c r="B7" s="109"/>
      <c r="C7" s="109"/>
      <c r="D7" s="450"/>
      <c r="E7" s="451"/>
      <c r="F7" s="451"/>
      <c r="G7" s="451"/>
      <c r="H7" s="452"/>
      <c r="I7" s="453"/>
      <c r="J7" s="110"/>
      <c r="K7" s="105"/>
    </row>
    <row r="8" spans="1:14" ht="41.25">
      <c r="A8" s="112" t="s">
        <v>2</v>
      </c>
      <c r="B8" s="113"/>
      <c r="C8" s="113"/>
      <c r="D8" s="454" t="s">
        <v>51</v>
      </c>
      <c r="E8" s="114" t="s">
        <v>4</v>
      </c>
      <c r="F8" s="114" t="s">
        <v>4</v>
      </c>
      <c r="G8" s="115" t="s">
        <v>52</v>
      </c>
      <c r="H8" s="22" t="s">
        <v>6</v>
      </c>
      <c r="I8" s="116" t="s">
        <v>53</v>
      </c>
      <c r="J8" s="117"/>
      <c r="K8" s="118"/>
      <c r="L8" s="119"/>
      <c r="M8" s="120"/>
      <c r="N8" s="120"/>
    </row>
    <row r="9" spans="1:14" s="128" customFormat="1" ht="25.5" thickBot="1">
      <c r="A9" s="121" t="s">
        <v>8</v>
      </c>
      <c r="B9" s="122"/>
      <c r="C9" s="122"/>
      <c r="D9" s="455"/>
      <c r="E9" s="123" t="s">
        <v>9</v>
      </c>
      <c r="F9" s="123" t="s">
        <v>7</v>
      </c>
      <c r="G9" s="124" t="s">
        <v>54</v>
      </c>
      <c r="H9" s="32">
        <v>4.7800000000000002E-2</v>
      </c>
      <c r="I9" s="116" t="s">
        <v>10</v>
      </c>
      <c r="J9" s="117"/>
      <c r="K9" s="125"/>
      <c r="L9" s="119"/>
      <c r="M9" s="126"/>
      <c r="N9" s="127"/>
    </row>
    <row r="10" spans="1:14" ht="15.75">
      <c r="A10" s="129" t="s">
        <v>11</v>
      </c>
      <c r="B10" s="131"/>
      <c r="C10" s="131"/>
      <c r="D10" s="132">
        <f t="shared" ref="D10:D40" si="0">SUM(B10:C10)</f>
        <v>0</v>
      </c>
      <c r="E10" s="133">
        <v>0.57499999999999996</v>
      </c>
      <c r="F10" s="134">
        <f>D10*E10</f>
        <v>0</v>
      </c>
      <c r="G10" s="135">
        <v>1.64</v>
      </c>
      <c r="H10" s="136">
        <f>G10+(G10*$H$9)</f>
        <v>1.7183919999999999</v>
      </c>
      <c r="I10" s="137">
        <f>D10*H10</f>
        <v>0</v>
      </c>
      <c r="J10" s="138"/>
      <c r="K10" s="139"/>
      <c r="L10" s="140"/>
      <c r="M10" s="141"/>
      <c r="N10" s="141"/>
    </row>
    <row r="11" spans="1:14" ht="15.75">
      <c r="A11" s="129" t="s">
        <v>12</v>
      </c>
      <c r="B11" s="131"/>
      <c r="C11" s="131"/>
      <c r="D11" s="132">
        <f t="shared" si="0"/>
        <v>0</v>
      </c>
      <c r="E11" s="133">
        <v>0.77</v>
      </c>
      <c r="F11" s="134">
        <f>D11*E11</f>
        <v>0</v>
      </c>
      <c r="G11" s="135">
        <v>2.4700000000000002</v>
      </c>
      <c r="H11" s="136">
        <f t="shared" ref="H11:H40" si="1">G11+(G11*$H$9)</f>
        <v>2.5880660000000004</v>
      </c>
      <c r="I11" s="137">
        <f t="shared" ref="I11:I40" si="2">D11*H11</f>
        <v>0</v>
      </c>
      <c r="J11" s="138"/>
      <c r="K11" s="139"/>
      <c r="L11" s="140"/>
      <c r="M11" s="141"/>
      <c r="N11" s="141"/>
    </row>
    <row r="12" spans="1:14" ht="15.75">
      <c r="A12" s="129" t="s">
        <v>15</v>
      </c>
      <c r="B12" s="131"/>
      <c r="C12" s="131"/>
      <c r="D12" s="132">
        <f t="shared" si="0"/>
        <v>0</v>
      </c>
      <c r="E12" s="133">
        <v>0.69</v>
      </c>
      <c r="F12" s="134">
        <f t="shared" ref="F12:F35" si="3">D12*E12</f>
        <v>0</v>
      </c>
      <c r="G12" s="135">
        <v>1.41</v>
      </c>
      <c r="H12" s="136">
        <f t="shared" si="1"/>
        <v>1.477398</v>
      </c>
      <c r="I12" s="137">
        <f t="shared" si="2"/>
        <v>0</v>
      </c>
      <c r="J12" s="138"/>
      <c r="K12" s="139"/>
      <c r="L12" s="140"/>
      <c r="M12" s="141"/>
      <c r="N12" s="141"/>
    </row>
    <row r="13" spans="1:14" ht="15.75">
      <c r="A13" s="129" t="s">
        <v>16</v>
      </c>
      <c r="B13" s="131"/>
      <c r="C13" s="131"/>
      <c r="D13" s="132">
        <f t="shared" si="0"/>
        <v>0</v>
      </c>
      <c r="E13" s="133">
        <v>0.105</v>
      </c>
      <c r="F13" s="134">
        <f t="shared" si="3"/>
        <v>0</v>
      </c>
      <c r="G13" s="135">
        <v>0.33</v>
      </c>
      <c r="H13" s="136">
        <f t="shared" si="1"/>
        <v>0.34577400000000003</v>
      </c>
      <c r="I13" s="137">
        <f t="shared" si="2"/>
        <v>0</v>
      </c>
      <c r="J13" s="138"/>
      <c r="K13" s="139"/>
      <c r="L13" s="140"/>
      <c r="M13" s="141"/>
      <c r="N13" s="141"/>
    </row>
    <row r="14" spans="1:14" ht="15.75">
      <c r="A14" s="129" t="s">
        <v>18</v>
      </c>
      <c r="B14" s="131"/>
      <c r="C14" s="131"/>
      <c r="D14" s="132">
        <f t="shared" si="0"/>
        <v>0</v>
      </c>
      <c r="E14" s="133">
        <v>0.17499999999999999</v>
      </c>
      <c r="F14" s="134">
        <f t="shared" si="3"/>
        <v>0</v>
      </c>
      <c r="G14" s="135">
        <v>0.62</v>
      </c>
      <c r="H14" s="136">
        <f t="shared" si="1"/>
        <v>0.64963599999999999</v>
      </c>
      <c r="I14" s="137">
        <f t="shared" si="2"/>
        <v>0</v>
      </c>
      <c r="J14" s="138"/>
      <c r="K14" s="139"/>
      <c r="L14" s="140"/>
      <c r="M14" s="141"/>
      <c r="N14" s="141"/>
    </row>
    <row r="15" spans="1:14" ht="15.75">
      <c r="A15" s="129" t="s">
        <v>19</v>
      </c>
      <c r="B15" s="131"/>
      <c r="C15" s="131"/>
      <c r="D15" s="132">
        <f t="shared" si="0"/>
        <v>0</v>
      </c>
      <c r="E15" s="133">
        <v>0.19</v>
      </c>
      <c r="F15" s="134">
        <f t="shared" si="3"/>
        <v>0</v>
      </c>
      <c r="G15" s="135">
        <v>0.74</v>
      </c>
      <c r="H15" s="136">
        <f t="shared" si="1"/>
        <v>0.77537199999999995</v>
      </c>
      <c r="I15" s="137">
        <f t="shared" si="2"/>
        <v>0</v>
      </c>
      <c r="J15" s="138"/>
      <c r="K15" s="139"/>
      <c r="L15" s="140"/>
      <c r="M15" s="141"/>
      <c r="N15" s="141"/>
    </row>
    <row r="16" spans="1:14" ht="15.75">
      <c r="A16" s="129" t="s">
        <v>20</v>
      </c>
      <c r="B16" s="131"/>
      <c r="C16" s="131"/>
      <c r="D16" s="132">
        <f t="shared" si="0"/>
        <v>0</v>
      </c>
      <c r="E16" s="134">
        <v>0.55000000000000004</v>
      </c>
      <c r="F16" s="134">
        <f t="shared" si="3"/>
        <v>0</v>
      </c>
      <c r="G16" s="135">
        <v>2.56</v>
      </c>
      <c r="H16" s="136">
        <f t="shared" si="1"/>
        <v>2.6823679999999999</v>
      </c>
      <c r="I16" s="137">
        <f>D16*H16</f>
        <v>0</v>
      </c>
      <c r="J16" s="138"/>
      <c r="K16" s="139"/>
      <c r="L16" s="140"/>
      <c r="M16" s="141"/>
      <c r="N16" s="141"/>
    </row>
    <row r="17" spans="1:14" ht="16.5" customHeight="1">
      <c r="A17" s="129" t="s">
        <v>55</v>
      </c>
      <c r="B17" s="131"/>
      <c r="C17" s="131"/>
      <c r="D17" s="132">
        <f t="shared" si="0"/>
        <v>0</v>
      </c>
      <c r="E17" s="134">
        <v>0.87</v>
      </c>
      <c r="F17" s="134">
        <f>D17*E17</f>
        <v>0</v>
      </c>
      <c r="G17" s="135">
        <v>2.4700000000000002</v>
      </c>
      <c r="H17" s="136">
        <f t="shared" si="1"/>
        <v>2.5880660000000004</v>
      </c>
      <c r="I17" s="137">
        <f t="shared" si="2"/>
        <v>0</v>
      </c>
      <c r="J17" s="138"/>
      <c r="K17" s="139"/>
      <c r="L17" s="140"/>
      <c r="M17" s="141"/>
      <c r="N17" s="141"/>
    </row>
    <row r="18" spans="1:14" ht="15.75">
      <c r="A18" s="129" t="s">
        <v>24</v>
      </c>
      <c r="B18" s="131"/>
      <c r="C18" s="131"/>
      <c r="D18" s="132">
        <f t="shared" si="0"/>
        <v>0</v>
      </c>
      <c r="E18" s="134">
        <v>1.1000000000000001</v>
      </c>
      <c r="F18" s="134">
        <f t="shared" si="3"/>
        <v>0</v>
      </c>
      <c r="G18" s="135">
        <v>4.9800000000000004</v>
      </c>
      <c r="H18" s="136">
        <f t="shared" si="1"/>
        <v>5.2180440000000008</v>
      </c>
      <c r="I18" s="137">
        <f t="shared" si="2"/>
        <v>0</v>
      </c>
      <c r="J18" s="138"/>
      <c r="K18" s="139"/>
      <c r="L18" s="140"/>
      <c r="M18" s="141"/>
      <c r="N18" s="141"/>
    </row>
    <row r="19" spans="1:14" ht="15.75" customHeight="1">
      <c r="A19" s="129" t="s">
        <v>25</v>
      </c>
      <c r="B19" s="130"/>
      <c r="C19" s="130"/>
      <c r="D19" s="132">
        <f t="shared" si="0"/>
        <v>0</v>
      </c>
      <c r="E19" s="134">
        <v>1.135</v>
      </c>
      <c r="F19" s="134">
        <f t="shared" si="3"/>
        <v>0</v>
      </c>
      <c r="G19" s="135">
        <v>5.37</v>
      </c>
      <c r="H19" s="136">
        <f t="shared" si="1"/>
        <v>5.6266860000000003</v>
      </c>
      <c r="I19" s="137">
        <f t="shared" si="2"/>
        <v>0</v>
      </c>
      <c r="J19" s="138"/>
      <c r="K19" s="139"/>
      <c r="L19" s="140"/>
      <c r="M19" s="141"/>
      <c r="N19" s="141"/>
    </row>
    <row r="20" spans="1:14" ht="15.75" customHeight="1">
      <c r="A20" s="129" t="s">
        <v>26</v>
      </c>
      <c r="B20" s="131"/>
      <c r="C20" s="131"/>
      <c r="D20" s="132">
        <f t="shared" si="0"/>
        <v>0</v>
      </c>
      <c r="E20" s="134">
        <v>0</v>
      </c>
      <c r="F20" s="134">
        <f t="shared" si="3"/>
        <v>0</v>
      </c>
      <c r="G20" s="135">
        <v>6.77</v>
      </c>
      <c r="H20" s="136">
        <f t="shared" si="1"/>
        <v>7.0936059999999994</v>
      </c>
      <c r="I20" s="137">
        <f t="shared" si="2"/>
        <v>0</v>
      </c>
      <c r="J20" s="138"/>
      <c r="K20" s="139"/>
      <c r="L20" s="140"/>
      <c r="M20" s="141"/>
      <c r="N20" s="141"/>
    </row>
    <row r="21" spans="1:14" ht="15.75" customHeight="1">
      <c r="A21" s="129" t="s">
        <v>27</v>
      </c>
      <c r="B21" s="131"/>
      <c r="C21" s="131"/>
      <c r="D21" s="132">
        <f t="shared" si="0"/>
        <v>0</v>
      </c>
      <c r="E21" s="134">
        <v>0</v>
      </c>
      <c r="F21" s="134">
        <f t="shared" si="3"/>
        <v>0</v>
      </c>
      <c r="G21" s="135">
        <v>6.93</v>
      </c>
      <c r="H21" s="136">
        <f t="shared" si="1"/>
        <v>7.2612540000000001</v>
      </c>
      <c r="I21" s="137">
        <f t="shared" si="2"/>
        <v>0</v>
      </c>
      <c r="J21" s="138"/>
      <c r="K21" s="139"/>
      <c r="L21" s="140"/>
      <c r="M21" s="141"/>
      <c r="N21" s="141"/>
    </row>
    <row r="22" spans="1:14" ht="15.75" customHeight="1">
      <c r="A22" s="129" t="s">
        <v>28</v>
      </c>
      <c r="B22" s="131"/>
      <c r="C22" s="131"/>
      <c r="D22" s="132">
        <f t="shared" si="0"/>
        <v>0</v>
      </c>
      <c r="E22" s="134">
        <v>1.1499999999999999</v>
      </c>
      <c r="F22" s="134">
        <f t="shared" si="3"/>
        <v>0</v>
      </c>
      <c r="G22" s="135">
        <v>4.3099999999999996</v>
      </c>
      <c r="H22" s="136">
        <f t="shared" si="1"/>
        <v>4.5160179999999999</v>
      </c>
      <c r="I22" s="137">
        <f t="shared" si="2"/>
        <v>0</v>
      </c>
      <c r="J22" s="138"/>
      <c r="K22" s="139"/>
      <c r="L22" s="140"/>
      <c r="M22" s="141"/>
      <c r="N22" s="141"/>
    </row>
    <row r="23" spans="1:14" ht="15.75" customHeight="1">
      <c r="A23" s="129" t="s">
        <v>29</v>
      </c>
      <c r="B23" s="131"/>
      <c r="C23" s="131"/>
      <c r="D23" s="132">
        <f t="shared" si="0"/>
        <v>0</v>
      </c>
      <c r="E23" s="134">
        <v>1.75</v>
      </c>
      <c r="F23" s="134">
        <f t="shared" si="3"/>
        <v>0</v>
      </c>
      <c r="G23" s="135">
        <v>5.71</v>
      </c>
      <c r="H23" s="136">
        <f t="shared" si="1"/>
        <v>5.9829379999999999</v>
      </c>
      <c r="I23" s="137">
        <f t="shared" si="2"/>
        <v>0</v>
      </c>
      <c r="J23" s="138"/>
      <c r="K23" s="139"/>
      <c r="L23" s="140"/>
      <c r="M23" s="141"/>
      <c r="N23" s="141"/>
    </row>
    <row r="24" spans="1:14" ht="15.75" customHeight="1">
      <c r="A24" s="129" t="s">
        <v>56</v>
      </c>
      <c r="B24" s="131"/>
      <c r="C24" s="131"/>
      <c r="D24" s="132">
        <f t="shared" si="0"/>
        <v>0</v>
      </c>
      <c r="E24" s="134">
        <v>1.75</v>
      </c>
      <c r="F24" s="134">
        <f>D24*E24</f>
        <v>0</v>
      </c>
      <c r="G24" s="135">
        <v>5.7</v>
      </c>
      <c r="H24" s="136">
        <f t="shared" si="1"/>
        <v>5.9724599999999999</v>
      </c>
      <c r="I24" s="137">
        <f t="shared" si="2"/>
        <v>0</v>
      </c>
      <c r="J24" s="138"/>
      <c r="K24" s="139"/>
      <c r="L24" s="140"/>
      <c r="M24" s="141"/>
      <c r="N24" s="141"/>
    </row>
    <row r="25" spans="1:14" ht="15.75" customHeight="1">
      <c r="A25" s="129" t="s">
        <v>30</v>
      </c>
      <c r="B25" s="131"/>
      <c r="C25" s="131"/>
      <c r="D25" s="132">
        <f t="shared" si="0"/>
        <v>0</v>
      </c>
      <c r="E25" s="134">
        <v>0</v>
      </c>
      <c r="F25" s="134">
        <f t="shared" si="3"/>
        <v>0</v>
      </c>
      <c r="G25" s="135">
        <v>0.67</v>
      </c>
      <c r="H25" s="136">
        <f t="shared" si="1"/>
        <v>0.70202600000000004</v>
      </c>
      <c r="I25" s="137">
        <f t="shared" si="2"/>
        <v>0</v>
      </c>
      <c r="J25" s="138"/>
      <c r="K25" s="139"/>
      <c r="L25" s="140"/>
      <c r="M25" s="141"/>
      <c r="N25" s="141"/>
    </row>
    <row r="26" spans="1:14" ht="15.75" customHeight="1">
      <c r="A26" s="129" t="s">
        <v>40</v>
      </c>
      <c r="B26" s="131"/>
      <c r="C26" s="131"/>
      <c r="D26" s="132">
        <f t="shared" si="0"/>
        <v>0</v>
      </c>
      <c r="E26" s="134">
        <v>0</v>
      </c>
      <c r="F26" s="134">
        <f t="shared" si="3"/>
        <v>0</v>
      </c>
      <c r="G26" s="135">
        <v>3.96</v>
      </c>
      <c r="H26" s="136">
        <f t="shared" si="1"/>
        <v>4.1492880000000003</v>
      </c>
      <c r="I26" s="137">
        <f t="shared" si="2"/>
        <v>0</v>
      </c>
      <c r="J26" s="138"/>
      <c r="K26" s="139"/>
      <c r="L26" s="140"/>
      <c r="M26" s="141"/>
      <c r="N26" s="141"/>
    </row>
    <row r="27" spans="1:14" ht="15.75" customHeight="1">
      <c r="A27" s="129" t="s">
        <v>57</v>
      </c>
      <c r="B27" s="131"/>
      <c r="C27" s="131"/>
      <c r="D27" s="132">
        <f t="shared" si="0"/>
        <v>0</v>
      </c>
      <c r="E27" s="134">
        <v>0</v>
      </c>
      <c r="F27" s="134">
        <f t="shared" si="3"/>
        <v>0</v>
      </c>
      <c r="G27" s="135">
        <v>4.82</v>
      </c>
      <c r="H27" s="136">
        <f t="shared" si="1"/>
        <v>5.0503960000000001</v>
      </c>
      <c r="I27" s="137">
        <f t="shared" si="2"/>
        <v>0</v>
      </c>
      <c r="J27" s="138"/>
      <c r="K27" s="139"/>
      <c r="L27" s="140"/>
      <c r="M27" s="141"/>
      <c r="N27" s="141"/>
    </row>
    <row r="28" spans="1:14" ht="15.75" customHeight="1">
      <c r="A28" s="129" t="s">
        <v>58</v>
      </c>
      <c r="B28" s="131"/>
      <c r="C28" s="131"/>
      <c r="D28" s="132">
        <f t="shared" si="0"/>
        <v>0</v>
      </c>
      <c r="E28" s="134">
        <v>0</v>
      </c>
      <c r="F28" s="134">
        <f t="shared" si="3"/>
        <v>0</v>
      </c>
      <c r="G28" s="135">
        <v>3.53</v>
      </c>
      <c r="H28" s="136">
        <f t="shared" si="1"/>
        <v>3.698734</v>
      </c>
      <c r="I28" s="137">
        <f t="shared" si="2"/>
        <v>0</v>
      </c>
      <c r="J28" s="138"/>
      <c r="K28" s="139"/>
      <c r="L28" s="140"/>
      <c r="M28" s="141"/>
      <c r="N28" s="141"/>
    </row>
    <row r="29" spans="1:14" ht="15.75" customHeight="1">
      <c r="A29" s="142" t="s">
        <v>59</v>
      </c>
      <c r="B29" s="131"/>
      <c r="C29" s="131"/>
      <c r="D29" s="132">
        <f t="shared" si="0"/>
        <v>0</v>
      </c>
      <c r="E29" s="134">
        <v>0</v>
      </c>
      <c r="F29" s="134">
        <f t="shared" si="3"/>
        <v>0</v>
      </c>
      <c r="G29" s="135">
        <v>4.9400000000000004</v>
      </c>
      <c r="H29" s="136">
        <f t="shared" si="1"/>
        <v>5.1761320000000008</v>
      </c>
      <c r="I29" s="137">
        <f t="shared" si="2"/>
        <v>0</v>
      </c>
      <c r="J29" s="138"/>
      <c r="K29" s="139"/>
      <c r="L29" s="140"/>
      <c r="M29" s="141"/>
      <c r="N29" s="141"/>
    </row>
    <row r="30" spans="1:14" ht="15.75" customHeight="1">
      <c r="A30" s="129" t="s">
        <v>43</v>
      </c>
      <c r="B30" s="131"/>
      <c r="C30" s="131"/>
      <c r="D30" s="132">
        <f t="shared" si="0"/>
        <v>0</v>
      </c>
      <c r="E30" s="134">
        <v>0</v>
      </c>
      <c r="F30" s="134">
        <f t="shared" si="3"/>
        <v>0</v>
      </c>
      <c r="G30" s="135">
        <v>3.52</v>
      </c>
      <c r="H30" s="136">
        <f t="shared" si="1"/>
        <v>3.688256</v>
      </c>
      <c r="I30" s="137">
        <f t="shared" si="2"/>
        <v>0</v>
      </c>
      <c r="J30" s="138"/>
      <c r="K30" s="139"/>
      <c r="L30" s="140"/>
      <c r="M30" s="141"/>
      <c r="N30" s="141"/>
    </row>
    <row r="31" spans="1:14" ht="15.75" customHeight="1">
      <c r="A31" s="129" t="s">
        <v>60</v>
      </c>
      <c r="B31" s="131"/>
      <c r="C31" s="131"/>
      <c r="D31" s="132">
        <f t="shared" si="0"/>
        <v>0</v>
      </c>
      <c r="E31" s="134">
        <v>0</v>
      </c>
      <c r="F31" s="134">
        <f t="shared" si="3"/>
        <v>0</v>
      </c>
      <c r="G31" s="135">
        <v>0.31</v>
      </c>
      <c r="H31" s="136">
        <f t="shared" si="1"/>
        <v>0.324818</v>
      </c>
      <c r="I31" s="137">
        <f t="shared" si="2"/>
        <v>0</v>
      </c>
      <c r="J31" s="138"/>
      <c r="K31" s="139"/>
      <c r="L31" s="140"/>
      <c r="M31" s="141"/>
      <c r="N31" s="141"/>
    </row>
    <row r="32" spans="1:14" ht="15.75" customHeight="1">
      <c r="A32" s="129" t="s">
        <v>39</v>
      </c>
      <c r="B32" s="131"/>
      <c r="C32" s="131"/>
      <c r="D32" s="132">
        <f t="shared" si="0"/>
        <v>0</v>
      </c>
      <c r="E32" s="134">
        <v>0</v>
      </c>
      <c r="F32" s="134">
        <f t="shared" si="3"/>
        <v>0</v>
      </c>
      <c r="G32" s="135">
        <v>2.97</v>
      </c>
      <c r="H32" s="136">
        <f t="shared" si="1"/>
        <v>3.1119660000000002</v>
      </c>
      <c r="I32" s="137">
        <f t="shared" si="2"/>
        <v>0</v>
      </c>
      <c r="J32" s="138"/>
      <c r="K32" s="139"/>
      <c r="L32" s="140"/>
      <c r="M32" s="141"/>
      <c r="N32" s="141"/>
    </row>
    <row r="33" spans="1:14" ht="15.75" customHeight="1">
      <c r="A33" s="129" t="s">
        <v>35</v>
      </c>
      <c r="B33" s="131"/>
      <c r="C33" s="131"/>
      <c r="D33" s="132">
        <f t="shared" si="0"/>
        <v>0</v>
      </c>
      <c r="E33" s="134">
        <v>0</v>
      </c>
      <c r="F33" s="134">
        <f t="shared" si="3"/>
        <v>0</v>
      </c>
      <c r="G33" s="135">
        <v>0.33</v>
      </c>
      <c r="H33" s="136">
        <f t="shared" si="1"/>
        <v>0.34577400000000003</v>
      </c>
      <c r="I33" s="137">
        <f t="shared" si="2"/>
        <v>0</v>
      </c>
      <c r="J33" s="138"/>
      <c r="K33" s="139"/>
      <c r="L33" s="140"/>
      <c r="M33" s="141"/>
      <c r="N33" s="141"/>
    </row>
    <row r="34" spans="1:14" ht="15.75" customHeight="1">
      <c r="A34" s="129" t="s">
        <v>34</v>
      </c>
      <c r="B34" s="131"/>
      <c r="C34" s="131"/>
      <c r="D34" s="132">
        <f t="shared" si="0"/>
        <v>0</v>
      </c>
      <c r="E34" s="134">
        <v>0</v>
      </c>
      <c r="F34" s="134">
        <f t="shared" si="3"/>
        <v>0</v>
      </c>
      <c r="G34" s="135">
        <v>0.83</v>
      </c>
      <c r="H34" s="136">
        <f t="shared" si="1"/>
        <v>0.86967399999999995</v>
      </c>
      <c r="I34" s="137">
        <f t="shared" si="2"/>
        <v>0</v>
      </c>
      <c r="J34" s="138"/>
      <c r="K34" s="139"/>
      <c r="L34" s="140"/>
      <c r="M34" s="141"/>
      <c r="N34" s="141"/>
    </row>
    <row r="35" spans="1:14" ht="15" customHeight="1">
      <c r="A35" s="129" t="s">
        <v>61</v>
      </c>
      <c r="B35" s="131"/>
      <c r="C35" s="131"/>
      <c r="D35" s="132">
        <f t="shared" si="0"/>
        <v>0</v>
      </c>
      <c r="E35" s="134">
        <v>0</v>
      </c>
      <c r="F35" s="134">
        <f t="shared" si="3"/>
        <v>0</v>
      </c>
      <c r="G35" s="135">
        <v>3.55</v>
      </c>
      <c r="H35" s="136">
        <f t="shared" si="1"/>
        <v>3.7196899999999999</v>
      </c>
      <c r="I35" s="137">
        <f t="shared" si="2"/>
        <v>0</v>
      </c>
      <c r="J35" s="138"/>
      <c r="K35" s="139"/>
      <c r="L35" s="140"/>
      <c r="M35" s="141"/>
      <c r="N35" s="141"/>
    </row>
    <row r="36" spans="1:14" ht="15.75" customHeight="1">
      <c r="A36" s="129" t="s">
        <v>36</v>
      </c>
      <c r="B36" s="131"/>
      <c r="C36" s="131"/>
      <c r="D36" s="132">
        <f t="shared" si="0"/>
        <v>0</v>
      </c>
      <c r="E36" s="134">
        <v>0</v>
      </c>
      <c r="F36" s="134">
        <f>D36*E36</f>
        <v>0</v>
      </c>
      <c r="G36" s="135">
        <v>5.3</v>
      </c>
      <c r="H36" s="136">
        <f t="shared" si="1"/>
        <v>5.5533399999999995</v>
      </c>
      <c r="I36" s="137">
        <f t="shared" si="2"/>
        <v>0</v>
      </c>
      <c r="J36" s="138"/>
      <c r="K36" s="139"/>
      <c r="L36" s="140"/>
      <c r="M36" s="141"/>
      <c r="N36" s="141"/>
    </row>
    <row r="37" spans="1:14" ht="15.75" customHeight="1">
      <c r="A37" s="129" t="s">
        <v>37</v>
      </c>
      <c r="B37" s="131"/>
      <c r="C37" s="131"/>
      <c r="D37" s="132">
        <f t="shared" si="0"/>
        <v>0</v>
      </c>
      <c r="E37" s="134">
        <v>0</v>
      </c>
      <c r="F37" s="134">
        <f>D37*E37</f>
        <v>0</v>
      </c>
      <c r="G37" s="135">
        <v>6.25</v>
      </c>
      <c r="H37" s="136">
        <f t="shared" si="1"/>
        <v>6.5487500000000001</v>
      </c>
      <c r="I37" s="137">
        <f t="shared" si="2"/>
        <v>0</v>
      </c>
      <c r="J37" s="138"/>
      <c r="K37" s="139"/>
      <c r="L37" s="140"/>
      <c r="M37" s="141"/>
      <c r="N37" s="141"/>
    </row>
    <row r="38" spans="1:14" ht="15.75" customHeight="1">
      <c r="A38" s="129" t="s">
        <v>46</v>
      </c>
      <c r="B38" s="131"/>
      <c r="C38" s="131"/>
      <c r="D38" s="132">
        <f t="shared" si="0"/>
        <v>0</v>
      </c>
      <c r="E38" s="134">
        <v>0</v>
      </c>
      <c r="F38" s="134">
        <f>D38*E38</f>
        <v>0</v>
      </c>
      <c r="G38" s="135">
        <v>36.71</v>
      </c>
      <c r="H38" s="136">
        <f t="shared" si="1"/>
        <v>38.464738000000004</v>
      </c>
      <c r="I38" s="137">
        <f t="shared" si="2"/>
        <v>0</v>
      </c>
      <c r="J38" s="143"/>
      <c r="K38" s="139"/>
      <c r="L38" s="140"/>
      <c r="M38" s="141"/>
      <c r="N38" s="141"/>
    </row>
    <row r="39" spans="1:14" ht="15.75" customHeight="1">
      <c r="A39" s="129" t="s">
        <v>62</v>
      </c>
      <c r="B39" s="131"/>
      <c r="C39" s="131"/>
      <c r="D39" s="132">
        <f t="shared" si="0"/>
        <v>0</v>
      </c>
      <c r="E39" s="134">
        <v>0</v>
      </c>
      <c r="F39" s="134">
        <f>D39*E39</f>
        <v>0</v>
      </c>
      <c r="G39" s="135">
        <v>15.4</v>
      </c>
      <c r="H39" s="136">
        <f t="shared" si="1"/>
        <v>16.136120000000002</v>
      </c>
      <c r="I39" s="137">
        <f t="shared" si="2"/>
        <v>0</v>
      </c>
      <c r="J39" s="143"/>
      <c r="K39" s="144"/>
      <c r="L39" s="145"/>
      <c r="M39" s="146"/>
      <c r="N39" s="141"/>
    </row>
    <row r="40" spans="1:14" ht="15.75" customHeight="1">
      <c r="A40" s="129" t="s">
        <v>63</v>
      </c>
      <c r="B40" s="131"/>
      <c r="C40" s="131"/>
      <c r="D40" s="132">
        <f t="shared" si="0"/>
        <v>0</v>
      </c>
      <c r="E40" s="134">
        <v>0</v>
      </c>
      <c r="F40" s="134">
        <v>0</v>
      </c>
      <c r="G40" s="135">
        <v>4</v>
      </c>
      <c r="H40" s="136">
        <f t="shared" si="1"/>
        <v>4.1912000000000003</v>
      </c>
      <c r="I40" s="137">
        <f t="shared" si="2"/>
        <v>0</v>
      </c>
      <c r="J40" s="143"/>
      <c r="K40" s="144"/>
      <c r="L40" s="145"/>
      <c r="M40" s="146"/>
      <c r="N40" s="141"/>
    </row>
    <row r="41" spans="1:14" ht="20.25">
      <c r="A41" s="147" t="s">
        <v>7</v>
      </c>
      <c r="B41" s="148"/>
      <c r="C41" s="148"/>
      <c r="D41" s="149">
        <f>SUM(D10:D40)</f>
        <v>0</v>
      </c>
      <c r="E41" s="150"/>
      <c r="F41" s="151">
        <f>SUM(F10:F40)</f>
        <v>0</v>
      </c>
      <c r="G41" s="152"/>
      <c r="H41" s="152"/>
      <c r="I41" s="153">
        <f>SUM(I10:I40)</f>
        <v>0</v>
      </c>
      <c r="J41" s="154"/>
      <c r="K41" s="105"/>
    </row>
    <row r="42" spans="1:14" ht="15.75" customHeight="1">
      <c r="A42" s="105"/>
      <c r="B42" s="105"/>
      <c r="C42" s="105"/>
      <c r="D42" s="155"/>
      <c r="E42" s="105"/>
      <c r="F42" s="105"/>
      <c r="G42" s="105"/>
      <c r="H42" s="105"/>
      <c r="I42" s="105"/>
      <c r="J42" s="105"/>
      <c r="K42" s="105"/>
    </row>
    <row r="43" spans="1:14" ht="15.75" customHeight="1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</row>
    <row r="44" spans="1:14" ht="15.75" customHeight="1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</row>
    <row r="45" spans="1:14" ht="15.75" customHeight="1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</row>
    <row r="46" spans="1:14" ht="15.75" customHeight="1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</row>
    <row r="47" spans="1:14" ht="15.75" customHeight="1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</row>
    <row r="48" spans="1:14" ht="15.75" customHeight="1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</row>
    <row r="49" spans="1:11" ht="15.75" customHeight="1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</row>
    <row r="50" spans="1:11" ht="15.75" customHeight="1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</row>
    <row r="51" spans="1:11" ht="15.75" customHeight="1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</row>
    <row r="52" spans="1:11" ht="15.75" customHeight="1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</row>
    <row r="53" spans="1:11" ht="15.75" customHeight="1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</row>
    <row r="54" spans="1:11" ht="15.75" customHeight="1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</row>
    <row r="55" spans="1:11" ht="15.75" customHeight="1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</row>
    <row r="56" spans="1:11" ht="15.75" customHeight="1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</row>
    <row r="57" spans="1:11" ht="15.75" customHeight="1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</row>
    <row r="58" spans="1:11" ht="15.75" customHeight="1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</row>
    <row r="59" spans="1:11" ht="15.75" customHeight="1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</row>
    <row r="60" spans="1:11" ht="15.75" customHeight="1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</row>
    <row r="61" spans="1:11" ht="15.75" customHeight="1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</row>
    <row r="62" spans="1:11" ht="15.75" customHeight="1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</row>
    <row r="63" spans="1:11" ht="15.75" customHeight="1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</row>
    <row r="64" spans="1:11" ht="15.75" customHeight="1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</row>
    <row r="65" spans="1:11" ht="15.75" customHeight="1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</row>
    <row r="66" spans="1:11" ht="15.75" customHeight="1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</row>
    <row r="67" spans="1:11" ht="15.75" customHeight="1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</row>
    <row r="68" spans="1:11" ht="15.75" customHeight="1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</row>
    <row r="69" spans="1:11" ht="15.75" customHeight="1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</row>
    <row r="70" spans="1:11" ht="15.75" customHeight="1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</row>
    <row r="71" spans="1:11" ht="15.75" customHeight="1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</row>
    <row r="72" spans="1:11" ht="15.75" customHeight="1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</row>
    <row r="73" spans="1:11" ht="15.75" customHeight="1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</row>
    <row r="74" spans="1:11" ht="15.75" customHeight="1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</row>
    <row r="75" spans="1:11" ht="15.75" customHeight="1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</row>
    <row r="76" spans="1:11" ht="15.75" customHeight="1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</row>
    <row r="77" spans="1:11" ht="15.75" customHeight="1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</row>
    <row r="78" spans="1:11" ht="15.75" customHeight="1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</row>
    <row r="79" spans="1:11" ht="15.75" customHeight="1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</row>
    <row r="80" spans="1:11" ht="15.75" customHeight="1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</row>
    <row r="81" spans="1:11" ht="15.75" customHeight="1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</row>
    <row r="82" spans="1:11" ht="15.75" customHeight="1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</row>
    <row r="83" spans="1:11" ht="15.75" customHeight="1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</row>
    <row r="84" spans="1:11" ht="15.75" customHeight="1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</row>
    <row r="85" spans="1:11" ht="15.75" customHeight="1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</row>
    <row r="86" spans="1:11" ht="15.75" customHeight="1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</row>
    <row r="87" spans="1:11" ht="15.75" customHeight="1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</row>
    <row r="88" spans="1:11" ht="15.75" customHeight="1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</row>
    <row r="89" spans="1:11" ht="15.75" customHeight="1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</row>
    <row r="90" spans="1:11" ht="15.75" customHeight="1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</row>
    <row r="91" spans="1:11" ht="15.75" customHeight="1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</row>
    <row r="92" spans="1:11" ht="15.75" customHeight="1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</row>
    <row r="93" spans="1:11" ht="15.75" customHeight="1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</row>
    <row r="94" spans="1:11" ht="15.75" customHeight="1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</row>
    <row r="95" spans="1:11" ht="15.75" customHeight="1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</row>
    <row r="96" spans="1:11" ht="15.75" customHeight="1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</row>
    <row r="97" spans="1:11" ht="15.75" customHeight="1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</row>
    <row r="98" spans="1:11" ht="15.75" customHeight="1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</row>
    <row r="99" spans="1:11" ht="15.75" customHeight="1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</row>
    <row r="100" spans="1:11" ht="15.75" customHeight="1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</row>
    <row r="101" spans="1:11" ht="15.75" customHeight="1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</row>
    <row r="102" spans="1:11" ht="15.75" customHeight="1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</row>
    <row r="103" spans="1:11" ht="15.75" customHeight="1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</row>
    <row r="104" spans="1:11" ht="15.75" customHeight="1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</row>
    <row r="105" spans="1:11" ht="15.75" customHeight="1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</row>
    <row r="106" spans="1:11" ht="15.75" customHeight="1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</row>
    <row r="107" spans="1:11" ht="15.75" customHeight="1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</row>
    <row r="108" spans="1:11" ht="15.75" customHeight="1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</row>
    <row r="109" spans="1:11" ht="15.75" customHeight="1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</row>
    <row r="110" spans="1:11" ht="15.75" customHeight="1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</row>
    <row r="111" spans="1:11" ht="15.75" customHeight="1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</row>
    <row r="112" spans="1:11" ht="15.75" customHeight="1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</row>
    <row r="113" spans="1:11" ht="15.75" customHeight="1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</row>
    <row r="114" spans="1:11" ht="15.75" customHeight="1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</row>
    <row r="115" spans="1:11" ht="15.75" customHeight="1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</row>
    <row r="116" spans="1:11" ht="15.75" customHeight="1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</row>
    <row r="117" spans="1:11" ht="15.75" customHeight="1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</row>
    <row r="118" spans="1:11" ht="15.75" customHeight="1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</row>
    <row r="119" spans="1:11" ht="15.75" customHeight="1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</row>
    <row r="120" spans="1:11" ht="15.75" customHeight="1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</row>
    <row r="121" spans="1:11" ht="15.75" customHeight="1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</row>
    <row r="122" spans="1:11" ht="15.75" customHeight="1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</row>
    <row r="123" spans="1:11" ht="15.75" customHeight="1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</row>
    <row r="124" spans="1:11" ht="15.75" customHeight="1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</row>
    <row r="125" spans="1:11" ht="15.75" customHeight="1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</row>
    <row r="126" spans="1:11" ht="15.75" customHeight="1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</row>
    <row r="127" spans="1:11" ht="15.75" customHeight="1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</row>
    <row r="128" spans="1:11" ht="15.75" customHeight="1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</row>
    <row r="129" spans="1:11" ht="15.75" customHeight="1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</row>
    <row r="130" spans="1:11" ht="15.75" customHeight="1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</row>
    <row r="131" spans="1:11" ht="15.75" customHeight="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</row>
    <row r="132" spans="1:11" ht="15.75" customHeight="1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</row>
    <row r="133" spans="1:11" ht="15.75" customHeight="1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</row>
    <row r="134" spans="1:11" ht="15.75" customHeight="1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</row>
    <row r="135" spans="1:11" ht="15.75" customHeight="1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</row>
    <row r="136" spans="1:11" ht="15.75" customHeight="1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</row>
    <row r="137" spans="1:11" ht="15.75" customHeight="1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</row>
    <row r="138" spans="1:11" ht="15.75" customHeight="1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</row>
    <row r="139" spans="1:11" ht="15.75" customHeight="1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</row>
    <row r="140" spans="1:11" ht="15.75" customHeight="1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</row>
    <row r="141" spans="1:11" ht="15.75" customHeight="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</row>
    <row r="142" spans="1:11" ht="15.75" customHeight="1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</row>
    <row r="143" spans="1:11" ht="15.75" customHeight="1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</row>
    <row r="144" spans="1:11" ht="15.75" customHeight="1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</row>
    <row r="145" spans="1:11" ht="15.75" customHeight="1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</row>
    <row r="146" spans="1:11" ht="15.75" customHeight="1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</row>
    <row r="147" spans="1:11" ht="15.75" customHeight="1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</row>
    <row r="148" spans="1:11" ht="15.75" customHeight="1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</row>
    <row r="149" spans="1:11" ht="15.75" customHeight="1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</row>
    <row r="150" spans="1:11" ht="15.75" customHeight="1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</row>
    <row r="151" spans="1:11" ht="15.75" customHeight="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</row>
    <row r="152" spans="1:11" ht="15.75" customHeight="1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</row>
    <row r="153" spans="1:11" ht="15.75" customHeight="1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</row>
    <row r="154" spans="1:11" ht="15.75" customHeight="1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</row>
    <row r="155" spans="1:11" ht="15.75" customHeight="1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</row>
    <row r="156" spans="1:11" ht="15.75" customHeight="1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</row>
    <row r="157" spans="1:11" ht="15.75" customHeight="1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</row>
    <row r="158" spans="1:11" ht="15.75" customHeight="1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</row>
    <row r="159" spans="1:11" ht="15.75" customHeight="1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</row>
    <row r="160" spans="1:11" ht="15.75" customHeight="1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</row>
    <row r="161" spans="1:11" ht="15.75" customHeight="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</row>
    <row r="162" spans="1:11" ht="15.75" customHeight="1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</row>
    <row r="163" spans="1:11" ht="15.75" customHeight="1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</row>
    <row r="164" spans="1:11" ht="15.75" customHeight="1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</row>
    <row r="165" spans="1:11" ht="15.75" customHeight="1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</row>
    <row r="166" spans="1:11" ht="15.75" customHeight="1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</row>
    <row r="167" spans="1:11" ht="15.75" customHeight="1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</row>
    <row r="168" spans="1:11" ht="15.75" customHeight="1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</row>
    <row r="169" spans="1:11" ht="15.75" customHeight="1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</row>
    <row r="170" spans="1:11" ht="15.75" customHeight="1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</row>
    <row r="171" spans="1:11" ht="15.75" customHeight="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</row>
    <row r="172" spans="1:11" ht="15.75" customHeight="1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</row>
    <row r="173" spans="1:11" ht="15.75" customHeight="1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</row>
    <row r="174" spans="1:11" ht="15.75" customHeight="1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</row>
    <row r="175" spans="1:11" ht="15.75" customHeight="1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</row>
    <row r="176" spans="1:11" ht="15.75" customHeight="1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</row>
    <row r="177" spans="1:11" ht="15.75" customHeight="1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</row>
    <row r="178" spans="1:11" ht="15.75" customHeight="1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</row>
    <row r="179" spans="1:11" ht="15.75" customHeight="1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</row>
    <row r="180" spans="1:11" ht="15.75" customHeight="1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</row>
    <row r="181" spans="1:11" ht="15.75" customHeight="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</row>
    <row r="182" spans="1:11" ht="15.75" customHeight="1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</row>
    <row r="183" spans="1:11" ht="15.75" customHeight="1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</row>
    <row r="184" spans="1:11" ht="15.75" customHeight="1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</row>
    <row r="185" spans="1:11" ht="15.75" customHeight="1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</row>
    <row r="186" spans="1:11" ht="15.75" customHeight="1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</row>
    <row r="187" spans="1:11" ht="15.75" customHeight="1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</row>
    <row r="188" spans="1:11" ht="15.75" customHeight="1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</row>
    <row r="189" spans="1:11" ht="15.75" customHeight="1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</row>
    <row r="190" spans="1:11" ht="15.75" customHeight="1"/>
    <row r="191" spans="1:11" ht="15.75" customHeight="1"/>
    <row r="192" spans="1:11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</sheetData>
  <mergeCells count="5">
    <mergeCell ref="A1:A6"/>
    <mergeCell ref="B1:D6"/>
    <mergeCell ref="E1:I6"/>
    <mergeCell ref="D7:I7"/>
    <mergeCell ref="D8:D9"/>
  </mergeCells>
  <printOptions horizontalCentered="1"/>
  <pageMargins left="0.19685039370078741" right="0.27559055118110237" top="0.51181102362204722" bottom="0.23622047244094491" header="0" footer="0"/>
  <pageSetup paperSize="9" scale="40" orientation="landscape" r:id="rId1"/>
  <colBreaks count="1" manualBreakCount="1">
    <brk id="10" max="8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A979"/>
  <sheetViews>
    <sheetView view="pageBreakPreview" zoomScale="80" zoomScaleNormal="70" zoomScaleSheetLayoutView="80" workbookViewId="0">
      <pane xSplit="1" topLeftCell="U1" activePane="topRight" state="frozen"/>
      <selection activeCell="I33" sqref="I33"/>
      <selection pane="topRight" activeCell="U9" sqref="U9:Z9"/>
    </sheetView>
  </sheetViews>
  <sheetFormatPr defaultColWidth="14.42578125" defaultRowHeight="15" customHeight="1"/>
  <cols>
    <col min="1" max="1" width="32.7109375" style="161" customWidth="1"/>
    <col min="2" max="2" width="8.28515625" style="161" hidden="1" customWidth="1"/>
    <col min="3" max="11" width="7.7109375" style="161" hidden="1" customWidth="1"/>
    <col min="12" max="12" width="8.7109375" style="161" hidden="1" customWidth="1"/>
    <col min="13" max="13" width="7.42578125" style="161" hidden="1" customWidth="1"/>
    <col min="14" max="14" width="4.140625" style="161" hidden="1" customWidth="1"/>
    <col min="15" max="15" width="6.28515625" style="161" hidden="1" customWidth="1"/>
    <col min="16" max="16" width="4.42578125" style="161" hidden="1" customWidth="1"/>
    <col min="17" max="17" width="8.140625" style="161" hidden="1" customWidth="1"/>
    <col min="18" max="18" width="2.7109375" style="161" hidden="1" customWidth="1"/>
    <col min="19" max="19" width="3.28515625" style="161" hidden="1" customWidth="1"/>
    <col min="20" max="20" width="4.7109375" style="161" hidden="1" customWidth="1"/>
    <col min="21" max="21" width="7" style="161" bestFit="1" customWidth="1"/>
    <col min="22" max="22" width="9.140625" style="161" bestFit="1" customWidth="1"/>
    <col min="23" max="23" width="14.42578125" style="161"/>
    <col min="24" max="24" width="19.85546875" style="161" bestFit="1" customWidth="1"/>
    <col min="25" max="25" width="19.85546875" style="161" customWidth="1"/>
    <col min="26" max="26" width="19.85546875" style="161" bestFit="1" customWidth="1"/>
    <col min="27" max="16384" width="14.42578125" style="161"/>
  </cols>
  <sheetData>
    <row r="1" spans="1:27" ht="15" customHeight="1">
      <c r="A1" s="156"/>
      <c r="B1" s="456"/>
      <c r="C1" s="456"/>
      <c r="D1" s="456"/>
      <c r="E1" s="456"/>
      <c r="F1" s="456"/>
      <c r="G1" s="456"/>
      <c r="H1" s="456"/>
      <c r="I1" s="456"/>
      <c r="J1" s="456"/>
      <c r="K1" s="456"/>
      <c r="L1" s="456"/>
      <c r="M1" s="456"/>
      <c r="N1" s="456"/>
      <c r="O1" s="456"/>
      <c r="P1" s="456"/>
      <c r="Q1" s="456"/>
      <c r="R1" s="456"/>
      <c r="S1" s="456"/>
      <c r="T1" s="456"/>
      <c r="U1" s="457"/>
      <c r="V1" s="157"/>
      <c r="W1" s="158"/>
      <c r="X1" s="158"/>
      <c r="Y1" s="158"/>
      <c r="Z1" s="159"/>
      <c r="AA1" s="160"/>
    </row>
    <row r="2" spans="1:27" ht="15" customHeight="1">
      <c r="A2" s="162"/>
      <c r="B2" s="458"/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58"/>
      <c r="Q2" s="458"/>
      <c r="R2" s="458"/>
      <c r="S2" s="458"/>
      <c r="T2" s="458"/>
      <c r="U2" s="459"/>
      <c r="V2" s="163"/>
      <c r="W2" s="164"/>
      <c r="X2" s="164"/>
      <c r="Y2" s="164"/>
      <c r="Z2" s="165"/>
      <c r="AA2" s="160"/>
    </row>
    <row r="3" spans="1:27" ht="15" customHeight="1">
      <c r="A3" s="162"/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9"/>
      <c r="V3" s="163"/>
      <c r="W3" s="164"/>
      <c r="X3" s="164"/>
      <c r="Y3" s="164"/>
      <c r="Z3" s="165"/>
      <c r="AA3" s="160"/>
    </row>
    <row r="4" spans="1:27" ht="21" customHeight="1">
      <c r="A4" s="162"/>
      <c r="B4" s="458"/>
      <c r="C4" s="458"/>
      <c r="D4" s="458"/>
      <c r="E4" s="458"/>
      <c r="F4" s="458"/>
      <c r="G4" s="458"/>
      <c r="H4" s="458"/>
      <c r="I4" s="458"/>
      <c r="J4" s="458"/>
      <c r="K4" s="458"/>
      <c r="L4" s="458"/>
      <c r="M4" s="458"/>
      <c r="N4" s="458"/>
      <c r="O4" s="458"/>
      <c r="P4" s="458"/>
      <c r="Q4" s="458"/>
      <c r="R4" s="458"/>
      <c r="S4" s="458"/>
      <c r="T4" s="458"/>
      <c r="U4" s="459"/>
      <c r="V4" s="163"/>
      <c r="W4" s="164"/>
      <c r="X4" s="164"/>
      <c r="Y4" s="164"/>
      <c r="Z4" s="165"/>
      <c r="AA4" s="160"/>
    </row>
    <row r="5" spans="1:27" ht="18.75" customHeight="1">
      <c r="A5" s="162"/>
      <c r="B5" s="458"/>
      <c r="C5" s="458"/>
      <c r="D5" s="458"/>
      <c r="E5" s="458"/>
      <c r="F5" s="458"/>
      <c r="G5" s="458"/>
      <c r="H5" s="458"/>
      <c r="I5" s="458"/>
      <c r="J5" s="458"/>
      <c r="K5" s="458"/>
      <c r="L5" s="458"/>
      <c r="M5" s="458"/>
      <c r="N5" s="458"/>
      <c r="O5" s="458"/>
      <c r="P5" s="458"/>
      <c r="Q5" s="458"/>
      <c r="R5" s="458"/>
      <c r="S5" s="458"/>
      <c r="T5" s="458"/>
      <c r="U5" s="459"/>
      <c r="V5" s="163"/>
      <c r="W5" s="164"/>
      <c r="X5" s="164"/>
      <c r="Y5" s="164"/>
      <c r="Z5" s="165"/>
      <c r="AA5" s="160"/>
    </row>
    <row r="6" spans="1:27" ht="24.75" customHeight="1" thickBot="1">
      <c r="A6" s="166"/>
      <c r="B6" s="460"/>
      <c r="C6" s="460"/>
      <c r="D6" s="460"/>
      <c r="E6" s="460"/>
      <c r="F6" s="460"/>
      <c r="G6" s="460"/>
      <c r="H6" s="460"/>
      <c r="I6" s="460"/>
      <c r="J6" s="460"/>
      <c r="K6" s="460"/>
      <c r="L6" s="460"/>
      <c r="M6" s="460"/>
      <c r="N6" s="460"/>
      <c r="O6" s="460"/>
      <c r="P6" s="460"/>
      <c r="Q6" s="460"/>
      <c r="R6" s="460"/>
      <c r="S6" s="460"/>
      <c r="T6" s="460"/>
      <c r="U6" s="461"/>
      <c r="V6" s="167"/>
      <c r="W6" s="168"/>
      <c r="X6" s="168"/>
      <c r="Y6" s="168"/>
      <c r="Z6" s="169"/>
      <c r="AA6" s="160"/>
    </row>
    <row r="7" spans="1:27" ht="21.75" customHeight="1" thickBot="1">
      <c r="A7" s="170"/>
      <c r="B7" s="171"/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2"/>
      <c r="V7" s="173"/>
      <c r="W7" s="173"/>
      <c r="X7" s="173"/>
      <c r="Y7" s="173"/>
      <c r="Z7" s="173"/>
      <c r="AA7" s="160"/>
    </row>
    <row r="8" spans="1:27" ht="12.75" customHeight="1">
      <c r="A8" s="174"/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6"/>
      <c r="V8" s="177"/>
      <c r="W8" s="177"/>
      <c r="X8" s="177"/>
      <c r="Y8" s="177"/>
      <c r="Z8" s="177"/>
      <c r="AA8" s="160"/>
    </row>
    <row r="9" spans="1:27" ht="18.75" thickBot="1">
      <c r="A9" s="174" t="s">
        <v>64</v>
      </c>
      <c r="B9" s="175"/>
      <c r="C9" s="175"/>
      <c r="D9" s="175"/>
      <c r="E9" s="175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462"/>
      <c r="V9" s="463"/>
      <c r="W9" s="463"/>
      <c r="X9" s="463"/>
      <c r="Y9" s="463"/>
      <c r="Z9" s="463"/>
      <c r="AA9" s="160"/>
    </row>
    <row r="10" spans="1:27" ht="28.5" customHeight="1">
      <c r="A10" s="179" t="s">
        <v>2</v>
      </c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1"/>
      <c r="M10" s="181"/>
      <c r="N10" s="181"/>
      <c r="O10" s="181"/>
      <c r="P10" s="181"/>
      <c r="Q10" s="181"/>
      <c r="R10" s="182"/>
      <c r="S10" s="182"/>
      <c r="T10" s="182"/>
      <c r="U10" s="183" t="s">
        <v>3</v>
      </c>
      <c r="V10" s="184" t="s">
        <v>4</v>
      </c>
      <c r="W10" s="184" t="s">
        <v>65</v>
      </c>
      <c r="X10" s="185" t="s">
        <v>66</v>
      </c>
      <c r="Y10" s="22" t="s">
        <v>6</v>
      </c>
      <c r="Z10" s="185" t="s">
        <v>47</v>
      </c>
    </row>
    <row r="11" spans="1:27" ht="30.75" customHeight="1" thickBot="1">
      <c r="A11" s="186" t="s">
        <v>8</v>
      </c>
      <c r="B11" s="188"/>
      <c r="C11" s="188"/>
      <c r="D11" s="188"/>
      <c r="E11" s="188"/>
      <c r="F11" s="188"/>
      <c r="G11" s="189"/>
      <c r="H11" s="189"/>
      <c r="I11" s="189"/>
      <c r="J11" s="189"/>
      <c r="K11" s="189"/>
      <c r="L11" s="187"/>
      <c r="M11" s="189"/>
      <c r="N11" s="189"/>
      <c r="O11" s="187"/>
      <c r="P11" s="187"/>
      <c r="Q11" s="187"/>
      <c r="R11" s="190"/>
      <c r="S11" s="190"/>
      <c r="T11" s="191"/>
      <c r="U11" s="187"/>
      <c r="V11" s="192" t="s">
        <v>9</v>
      </c>
      <c r="W11" s="192" t="s">
        <v>7</v>
      </c>
      <c r="X11" s="187" t="s">
        <v>54</v>
      </c>
      <c r="Y11" s="32">
        <v>4.7800000000000002E-2</v>
      </c>
      <c r="Z11" s="187"/>
    </row>
    <row r="12" spans="1:27" ht="15.75">
      <c r="A12" s="193" t="s">
        <v>23</v>
      </c>
      <c r="B12" s="130"/>
      <c r="C12" s="130"/>
      <c r="D12" s="130"/>
      <c r="E12" s="131"/>
      <c r="F12" s="131"/>
      <c r="G12" s="131"/>
      <c r="H12" s="131"/>
      <c r="I12" s="131"/>
      <c r="J12" s="131"/>
      <c r="K12" s="131"/>
      <c r="L12" s="194"/>
      <c r="M12" s="131"/>
      <c r="N12" s="131"/>
      <c r="O12" s="131"/>
      <c r="P12" s="131"/>
      <c r="Q12" s="194"/>
      <c r="R12" s="194"/>
      <c r="S12" s="194"/>
      <c r="T12" s="195"/>
      <c r="U12" s="196">
        <f>SUM(B12:M12)</f>
        <v>0</v>
      </c>
      <c r="V12" s="197">
        <v>0.45</v>
      </c>
      <c r="W12" s="197">
        <f>U12*V12</f>
        <v>0</v>
      </c>
      <c r="X12" s="198">
        <v>1.37</v>
      </c>
      <c r="Y12" s="198">
        <f>X12+(X12*$Y$11)</f>
        <v>1.435486</v>
      </c>
      <c r="Z12" s="199">
        <f>U12*Y12</f>
        <v>0</v>
      </c>
    </row>
    <row r="13" spans="1:27" ht="15.75" customHeight="1">
      <c r="A13" s="193" t="s">
        <v>67</v>
      </c>
      <c r="B13" s="194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5"/>
      <c r="U13" s="196">
        <f>SUM(B13:M13)</f>
        <v>0</v>
      </c>
      <c r="V13" s="197">
        <v>0.6</v>
      </c>
      <c r="W13" s="197">
        <f>U13*V13</f>
        <v>0</v>
      </c>
      <c r="X13" s="198">
        <v>6.25</v>
      </c>
      <c r="Y13" s="198">
        <f t="shared" ref="Y13:Y15" si="0">X13+(X13*$Y$11)</f>
        <v>6.5487500000000001</v>
      </c>
      <c r="Z13" s="199">
        <f>U13*Y13</f>
        <v>0</v>
      </c>
    </row>
    <row r="14" spans="1:27" ht="15.75" customHeight="1">
      <c r="A14" s="193" t="s">
        <v>68</v>
      </c>
      <c r="B14" s="194"/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5"/>
      <c r="U14" s="196">
        <f>SUM(B14:M14)</f>
        <v>0</v>
      </c>
      <c r="V14" s="197">
        <v>0.6</v>
      </c>
      <c r="W14" s="197">
        <f>U14*V14</f>
        <v>0</v>
      </c>
      <c r="X14" s="198">
        <v>6.25</v>
      </c>
      <c r="Y14" s="198">
        <f t="shared" si="0"/>
        <v>6.5487500000000001</v>
      </c>
      <c r="Z14" s="199">
        <f t="shared" ref="Z14:Z15" si="1">U14*Y14</f>
        <v>0</v>
      </c>
    </row>
    <row r="15" spans="1:27" ht="15.75" customHeight="1">
      <c r="A15" s="193" t="s">
        <v>69</v>
      </c>
      <c r="B15" s="200"/>
      <c r="C15" s="200"/>
      <c r="D15" s="200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1"/>
      <c r="U15" s="196">
        <f>SUM(B15:M15)</f>
        <v>0</v>
      </c>
      <c r="V15" s="197">
        <v>0.6</v>
      </c>
      <c r="W15" s="197">
        <f>U15*V15</f>
        <v>0</v>
      </c>
      <c r="X15" s="198">
        <v>6.25</v>
      </c>
      <c r="Y15" s="198">
        <f t="shared" si="0"/>
        <v>6.5487500000000001</v>
      </c>
      <c r="Z15" s="199">
        <f t="shared" si="1"/>
        <v>0</v>
      </c>
    </row>
    <row r="16" spans="1:27" ht="20.25">
      <c r="A16" s="202" t="s">
        <v>7</v>
      </c>
      <c r="B16" s="203"/>
      <c r="C16" s="203"/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4">
        <f>SUM(U12:U15)</f>
        <v>0</v>
      </c>
      <c r="V16" s="205"/>
      <c r="W16" s="206">
        <f>SUM(W12:W15)</f>
        <v>0</v>
      </c>
      <c r="X16" s="207"/>
      <c r="Y16" s="207"/>
      <c r="Z16" s="208">
        <f>SUM(Z12:Z15)</f>
        <v>0</v>
      </c>
    </row>
    <row r="17" spans="1:26" ht="15.75" customHeight="1">
      <c r="A17" s="160"/>
      <c r="B17" s="209"/>
      <c r="C17" s="209"/>
      <c r="D17" s="209"/>
      <c r="E17" s="209"/>
      <c r="F17" s="209"/>
      <c r="G17" s="209"/>
      <c r="H17" s="209"/>
      <c r="I17" s="160"/>
      <c r="J17" s="160"/>
      <c r="K17" s="210"/>
      <c r="L17" s="160"/>
      <c r="M17" s="160"/>
      <c r="N17" s="160"/>
    </row>
    <row r="18" spans="1:26" ht="15.75" customHeight="1">
      <c r="A18" s="160"/>
      <c r="B18" s="209"/>
      <c r="C18" s="209"/>
      <c r="D18" s="209"/>
      <c r="E18" s="209"/>
      <c r="F18" s="209"/>
      <c r="G18" s="209"/>
      <c r="H18" s="209"/>
      <c r="I18" s="160"/>
      <c r="J18" s="160"/>
      <c r="K18" s="160"/>
      <c r="L18" s="160"/>
      <c r="M18" s="160"/>
      <c r="N18" s="160"/>
    </row>
    <row r="19" spans="1:26" ht="15.75" customHeight="1">
      <c r="A19" s="160"/>
      <c r="B19" s="209"/>
      <c r="C19" s="209"/>
      <c r="D19" s="209"/>
      <c r="E19" s="209"/>
      <c r="F19" s="209"/>
      <c r="G19" s="209"/>
      <c r="H19" s="209"/>
      <c r="I19" s="160"/>
      <c r="J19" s="160"/>
      <c r="K19" s="160"/>
      <c r="L19" s="160"/>
      <c r="M19" s="160"/>
      <c r="N19" s="160"/>
      <c r="Z19" s="211"/>
    </row>
    <row r="20" spans="1:26" ht="15.75" customHeight="1">
      <c r="A20" s="160"/>
      <c r="B20" s="209"/>
      <c r="C20" s="209"/>
      <c r="D20" s="209"/>
      <c r="E20" s="209"/>
      <c r="F20" s="209"/>
      <c r="G20" s="209"/>
      <c r="H20" s="209"/>
      <c r="I20" s="160"/>
      <c r="J20" s="160"/>
      <c r="K20" s="160"/>
      <c r="L20" s="160"/>
      <c r="M20" s="160"/>
      <c r="N20" s="160"/>
    </row>
    <row r="21" spans="1:26" ht="15.75" customHeight="1">
      <c r="A21" s="160"/>
      <c r="B21" s="209"/>
      <c r="C21" s="209"/>
      <c r="D21" s="209"/>
      <c r="E21" s="209"/>
      <c r="F21" s="209"/>
      <c r="G21" s="209"/>
      <c r="H21" s="209"/>
      <c r="I21" s="160"/>
      <c r="J21" s="160"/>
      <c r="K21" s="160"/>
      <c r="L21" s="160"/>
      <c r="M21" s="160"/>
      <c r="N21" s="160"/>
    </row>
    <row r="22" spans="1:26" ht="15.75" customHeight="1">
      <c r="A22" s="160"/>
      <c r="B22" s="209"/>
      <c r="C22" s="209"/>
      <c r="D22" s="209"/>
      <c r="E22" s="209"/>
      <c r="F22" s="209"/>
      <c r="G22" s="209"/>
      <c r="H22" s="209"/>
      <c r="I22" s="160"/>
      <c r="J22" s="160"/>
      <c r="K22" s="160"/>
      <c r="L22" s="160"/>
      <c r="M22" s="160"/>
      <c r="N22" s="160"/>
    </row>
    <row r="23" spans="1:26" ht="15.75" customHeight="1">
      <c r="A23" s="160"/>
      <c r="B23" s="209"/>
      <c r="C23" s="209"/>
      <c r="D23" s="209"/>
      <c r="E23" s="209"/>
      <c r="F23" s="209"/>
      <c r="G23" s="209"/>
      <c r="H23" s="209"/>
      <c r="I23" s="160"/>
      <c r="J23" s="160"/>
      <c r="K23" s="160"/>
      <c r="L23" s="160"/>
      <c r="M23" s="160"/>
      <c r="N23" s="160"/>
    </row>
    <row r="24" spans="1:26" ht="15.75" customHeight="1">
      <c r="A24" s="160"/>
      <c r="B24" s="209"/>
      <c r="C24" s="209"/>
      <c r="D24" s="209"/>
      <c r="E24" s="209"/>
      <c r="F24" s="209"/>
      <c r="G24" s="209"/>
      <c r="H24" s="209"/>
      <c r="I24" s="160"/>
      <c r="J24" s="160"/>
      <c r="K24" s="160"/>
      <c r="L24" s="160"/>
      <c r="M24" s="160"/>
      <c r="N24" s="160"/>
    </row>
    <row r="25" spans="1:26" ht="15.75" customHeight="1">
      <c r="A25" s="160"/>
      <c r="B25" s="209"/>
      <c r="C25" s="209"/>
      <c r="D25" s="209"/>
      <c r="E25" s="209"/>
      <c r="F25" s="209"/>
      <c r="G25" s="209"/>
      <c r="H25" s="209"/>
      <c r="I25" s="160"/>
      <c r="J25" s="160"/>
      <c r="K25" s="160"/>
      <c r="L25" s="160"/>
      <c r="M25" s="160"/>
      <c r="N25" s="160"/>
    </row>
    <row r="26" spans="1:26" ht="15.75" customHeight="1">
      <c r="A26" s="160"/>
      <c r="B26" s="209"/>
      <c r="C26" s="209"/>
      <c r="D26" s="209"/>
      <c r="E26" s="209"/>
      <c r="F26" s="209"/>
      <c r="G26" s="209"/>
      <c r="H26" s="209"/>
      <c r="I26" s="160"/>
      <c r="J26" s="160"/>
      <c r="K26" s="160"/>
      <c r="L26" s="160"/>
      <c r="M26" s="160"/>
      <c r="N26" s="160"/>
    </row>
    <row r="27" spans="1:26" ht="15.75" customHeight="1">
      <c r="A27" s="160"/>
      <c r="B27" s="209"/>
      <c r="C27" s="209"/>
      <c r="D27" s="209"/>
      <c r="E27" s="209"/>
      <c r="F27" s="209"/>
      <c r="G27" s="209"/>
      <c r="H27" s="209"/>
      <c r="I27" s="160"/>
      <c r="J27" s="160"/>
      <c r="K27" s="160"/>
      <c r="L27" s="160"/>
      <c r="M27" s="160"/>
      <c r="N27" s="160"/>
    </row>
    <row r="28" spans="1:26" ht="15.75" customHeight="1">
      <c r="A28" s="160"/>
      <c r="B28" s="209"/>
      <c r="C28" s="209"/>
      <c r="D28" s="209"/>
      <c r="E28" s="209"/>
      <c r="F28" s="209"/>
      <c r="G28" s="209"/>
      <c r="H28" s="209"/>
      <c r="I28" s="160"/>
      <c r="J28" s="160"/>
      <c r="K28" s="160"/>
      <c r="L28" s="160"/>
      <c r="M28" s="160"/>
      <c r="N28" s="160"/>
    </row>
    <row r="29" spans="1:26" ht="15.75" customHeight="1">
      <c r="A29" s="160"/>
      <c r="B29" s="209"/>
      <c r="C29" s="209"/>
      <c r="D29" s="209"/>
      <c r="E29" s="209"/>
      <c r="F29" s="209"/>
      <c r="G29" s="209"/>
      <c r="H29" s="209"/>
      <c r="I29" s="160"/>
      <c r="J29" s="160"/>
      <c r="K29" s="160"/>
      <c r="L29" s="160"/>
      <c r="M29" s="160"/>
      <c r="N29" s="160"/>
    </row>
    <row r="30" spans="1:26" ht="15.75" customHeight="1">
      <c r="A30" s="160"/>
      <c r="B30" s="209"/>
      <c r="C30" s="209"/>
      <c r="D30" s="209"/>
      <c r="E30" s="209"/>
      <c r="F30" s="209"/>
      <c r="G30" s="209"/>
      <c r="H30" s="209"/>
      <c r="I30" s="160"/>
      <c r="J30" s="160"/>
      <c r="K30" s="160"/>
      <c r="L30" s="160"/>
      <c r="M30" s="160"/>
      <c r="N30" s="160"/>
    </row>
    <row r="31" spans="1:26" ht="15.75" customHeight="1">
      <c r="A31" s="160"/>
      <c r="B31" s="209"/>
      <c r="C31" s="209"/>
      <c r="D31" s="209"/>
      <c r="E31" s="209"/>
      <c r="F31" s="209"/>
      <c r="G31" s="209"/>
      <c r="H31" s="209"/>
      <c r="I31" s="160"/>
      <c r="J31" s="160"/>
      <c r="K31" s="160"/>
      <c r="L31" s="160"/>
      <c r="M31" s="160"/>
      <c r="N31" s="160"/>
    </row>
    <row r="32" spans="1:26" ht="15.75" customHeight="1">
      <c r="A32" s="160"/>
      <c r="B32" s="209"/>
      <c r="C32" s="209"/>
      <c r="D32" s="209"/>
      <c r="E32" s="209"/>
      <c r="F32" s="209"/>
      <c r="G32" s="209"/>
      <c r="H32" s="209"/>
      <c r="I32" s="160"/>
      <c r="J32" s="160"/>
      <c r="K32" s="160"/>
      <c r="L32" s="160"/>
      <c r="M32" s="160"/>
      <c r="N32" s="160"/>
    </row>
    <row r="33" spans="1:14" ht="15.75" customHeight="1">
      <c r="A33" s="160"/>
      <c r="B33" s="209"/>
      <c r="C33" s="209"/>
      <c r="D33" s="209"/>
      <c r="E33" s="209"/>
      <c r="F33" s="209"/>
      <c r="G33" s="209"/>
      <c r="H33" s="209"/>
      <c r="I33" s="160"/>
      <c r="J33" s="160"/>
      <c r="K33" s="160"/>
      <c r="L33" s="160"/>
      <c r="M33" s="160"/>
      <c r="N33" s="160"/>
    </row>
    <row r="34" spans="1:14" ht="15.75" customHeight="1">
      <c r="A34" s="160"/>
      <c r="B34" s="209"/>
      <c r="C34" s="209"/>
      <c r="D34" s="209"/>
      <c r="E34" s="209"/>
      <c r="F34" s="209"/>
      <c r="G34" s="209"/>
      <c r="H34" s="209"/>
      <c r="I34" s="160"/>
      <c r="J34" s="160"/>
      <c r="K34" s="160"/>
      <c r="L34" s="160"/>
      <c r="M34" s="160"/>
      <c r="N34" s="160"/>
    </row>
    <row r="35" spans="1:14" ht="15.75" customHeight="1">
      <c r="A35" s="160"/>
      <c r="B35" s="209"/>
      <c r="C35" s="209"/>
      <c r="D35" s="209"/>
      <c r="E35" s="209"/>
      <c r="F35" s="209"/>
      <c r="G35" s="209"/>
      <c r="H35" s="209"/>
      <c r="I35" s="160"/>
      <c r="J35" s="160"/>
      <c r="K35" s="160"/>
      <c r="L35" s="160"/>
      <c r="M35" s="160"/>
      <c r="N35" s="160"/>
    </row>
    <row r="36" spans="1:14" ht="15.75" customHeight="1">
      <c r="A36" s="160"/>
      <c r="B36" s="209"/>
      <c r="C36" s="209"/>
      <c r="D36" s="209"/>
      <c r="E36" s="209"/>
      <c r="F36" s="209"/>
      <c r="G36" s="209"/>
      <c r="H36" s="209"/>
      <c r="I36" s="160"/>
      <c r="J36" s="160"/>
      <c r="K36" s="160"/>
      <c r="L36" s="160"/>
      <c r="M36" s="160"/>
      <c r="N36" s="160"/>
    </row>
    <row r="37" spans="1:14" ht="15.75" customHeight="1">
      <c r="A37" s="160"/>
      <c r="B37" s="209"/>
      <c r="C37" s="209"/>
      <c r="D37" s="209"/>
      <c r="E37" s="209"/>
      <c r="F37" s="209"/>
      <c r="G37" s="209"/>
      <c r="H37" s="209"/>
      <c r="I37" s="160"/>
      <c r="J37" s="160"/>
      <c r="K37" s="160"/>
      <c r="L37" s="160"/>
      <c r="M37" s="160"/>
      <c r="N37" s="160"/>
    </row>
    <row r="38" spans="1:14" ht="15.75" customHeight="1">
      <c r="A38" s="160"/>
      <c r="B38" s="209"/>
      <c r="C38" s="209"/>
      <c r="D38" s="209"/>
      <c r="E38" s="209"/>
      <c r="F38" s="209"/>
      <c r="G38" s="209"/>
      <c r="H38" s="209"/>
      <c r="I38" s="160"/>
      <c r="J38" s="160"/>
      <c r="K38" s="160"/>
      <c r="L38" s="160"/>
      <c r="M38" s="160"/>
      <c r="N38" s="160"/>
    </row>
    <row r="39" spans="1:14" ht="15.75" customHeight="1">
      <c r="A39" s="160"/>
      <c r="B39" s="209"/>
      <c r="C39" s="209"/>
      <c r="D39" s="209"/>
      <c r="E39" s="209"/>
      <c r="F39" s="209"/>
      <c r="G39" s="209"/>
      <c r="H39" s="209"/>
      <c r="I39" s="160"/>
      <c r="J39" s="160"/>
      <c r="K39" s="160"/>
      <c r="L39" s="160"/>
      <c r="M39" s="160"/>
      <c r="N39" s="160"/>
    </row>
    <row r="40" spans="1:14" ht="15.75" customHeight="1">
      <c r="A40" s="160"/>
      <c r="B40" s="209"/>
      <c r="C40" s="209"/>
      <c r="D40" s="209"/>
      <c r="E40" s="209"/>
      <c r="F40" s="209"/>
      <c r="G40" s="209"/>
      <c r="H40" s="209"/>
      <c r="I40" s="160"/>
      <c r="J40" s="160"/>
      <c r="K40" s="160"/>
      <c r="L40" s="160"/>
      <c r="M40" s="160"/>
      <c r="N40" s="160"/>
    </row>
    <row r="41" spans="1:14" ht="15.75" customHeight="1">
      <c r="A41" s="160"/>
      <c r="B41" s="209"/>
      <c r="C41" s="209"/>
      <c r="D41" s="209"/>
      <c r="E41" s="209"/>
      <c r="F41" s="209"/>
      <c r="G41" s="209"/>
      <c r="H41" s="209"/>
      <c r="I41" s="160"/>
      <c r="J41" s="160"/>
      <c r="K41" s="160"/>
      <c r="L41" s="160"/>
      <c r="M41" s="160"/>
      <c r="N41" s="160"/>
    </row>
    <row r="42" spans="1:14" ht="15.75" customHeight="1">
      <c r="A42" s="160"/>
      <c r="B42" s="209"/>
      <c r="C42" s="209"/>
      <c r="D42" s="209"/>
      <c r="E42" s="209"/>
      <c r="F42" s="209"/>
      <c r="G42" s="209"/>
      <c r="H42" s="209"/>
      <c r="I42" s="160"/>
      <c r="J42" s="160"/>
      <c r="K42" s="160"/>
      <c r="L42" s="160"/>
      <c r="M42" s="160"/>
      <c r="N42" s="160"/>
    </row>
    <row r="43" spans="1:14" ht="15.75" customHeight="1">
      <c r="A43" s="160"/>
      <c r="B43" s="209"/>
      <c r="C43" s="209"/>
      <c r="D43" s="209"/>
      <c r="E43" s="209"/>
      <c r="F43" s="209"/>
      <c r="G43" s="209"/>
      <c r="H43" s="209"/>
      <c r="I43" s="160"/>
      <c r="J43" s="160"/>
      <c r="K43" s="160"/>
      <c r="L43" s="160"/>
      <c r="M43" s="160"/>
      <c r="N43" s="160"/>
    </row>
    <row r="44" spans="1:14" ht="15.75" customHeight="1">
      <c r="A44" s="160"/>
      <c r="B44" s="209"/>
      <c r="C44" s="209"/>
      <c r="D44" s="209"/>
      <c r="E44" s="209"/>
      <c r="F44" s="209"/>
      <c r="G44" s="209"/>
      <c r="H44" s="209"/>
      <c r="I44" s="160"/>
      <c r="J44" s="160"/>
      <c r="K44" s="160"/>
      <c r="L44" s="160"/>
      <c r="M44" s="160"/>
      <c r="N44" s="160"/>
    </row>
    <row r="45" spans="1:14" ht="15.75" customHeight="1">
      <c r="A45" s="160"/>
      <c r="B45" s="209"/>
      <c r="C45" s="209"/>
      <c r="D45" s="209"/>
      <c r="E45" s="209"/>
      <c r="F45" s="209"/>
      <c r="G45" s="209"/>
      <c r="H45" s="209"/>
      <c r="I45" s="160"/>
      <c r="J45" s="160"/>
      <c r="K45" s="160"/>
      <c r="L45" s="160"/>
      <c r="M45" s="160"/>
      <c r="N45" s="160"/>
    </row>
    <row r="46" spans="1:14" ht="15.75" customHeight="1">
      <c r="A46" s="160"/>
      <c r="B46" s="209"/>
      <c r="C46" s="209"/>
      <c r="D46" s="209"/>
      <c r="E46" s="209"/>
      <c r="F46" s="209"/>
      <c r="G46" s="209"/>
      <c r="H46" s="209"/>
      <c r="I46" s="160"/>
      <c r="J46" s="160"/>
      <c r="K46" s="160"/>
      <c r="L46" s="160"/>
      <c r="M46" s="160"/>
      <c r="N46" s="160"/>
    </row>
    <row r="47" spans="1:14" ht="15.75" customHeight="1">
      <c r="A47" s="160"/>
      <c r="B47" s="209"/>
      <c r="C47" s="209"/>
      <c r="D47" s="209"/>
      <c r="E47" s="209"/>
      <c r="F47" s="209"/>
      <c r="G47" s="209"/>
      <c r="H47" s="209"/>
      <c r="I47" s="160"/>
      <c r="J47" s="160"/>
      <c r="K47" s="160"/>
      <c r="L47" s="160"/>
      <c r="M47" s="160"/>
      <c r="N47" s="160"/>
    </row>
    <row r="48" spans="1:14" ht="15.75" customHeight="1">
      <c r="A48" s="160"/>
      <c r="B48" s="209"/>
      <c r="C48" s="209"/>
      <c r="D48" s="209"/>
      <c r="E48" s="209"/>
      <c r="F48" s="209"/>
      <c r="G48" s="209"/>
      <c r="H48" s="209"/>
      <c r="I48" s="160"/>
      <c r="J48" s="160"/>
      <c r="K48" s="160"/>
      <c r="L48" s="160"/>
      <c r="M48" s="160"/>
      <c r="N48" s="160"/>
    </row>
    <row r="49" spans="1:14" ht="15.75" customHeight="1">
      <c r="A49" s="160"/>
      <c r="B49" s="209"/>
      <c r="C49" s="209"/>
      <c r="D49" s="209"/>
      <c r="E49" s="209"/>
      <c r="F49" s="209"/>
      <c r="G49" s="209"/>
      <c r="H49" s="209"/>
      <c r="I49" s="160"/>
      <c r="J49" s="160"/>
      <c r="K49" s="160"/>
      <c r="L49" s="160"/>
      <c r="M49" s="160"/>
      <c r="N49" s="160"/>
    </row>
    <row r="50" spans="1:14" ht="15.75" customHeight="1">
      <c r="A50" s="160"/>
      <c r="B50" s="209"/>
      <c r="C50" s="209"/>
      <c r="D50" s="209"/>
      <c r="E50" s="209"/>
      <c r="F50" s="209"/>
      <c r="G50" s="209"/>
      <c r="H50" s="209"/>
      <c r="I50" s="160"/>
      <c r="J50" s="160"/>
      <c r="K50" s="160"/>
      <c r="L50" s="160"/>
      <c r="M50" s="160"/>
      <c r="N50" s="160"/>
    </row>
    <row r="51" spans="1:14" ht="15.75" customHeight="1">
      <c r="A51" s="160"/>
      <c r="B51" s="209"/>
      <c r="C51" s="209"/>
      <c r="D51" s="209"/>
      <c r="E51" s="209"/>
      <c r="F51" s="209"/>
      <c r="G51" s="209"/>
      <c r="H51" s="209"/>
      <c r="I51" s="160"/>
      <c r="J51" s="160"/>
      <c r="K51" s="160"/>
      <c r="L51" s="160"/>
      <c r="M51" s="160"/>
      <c r="N51" s="160"/>
    </row>
    <row r="52" spans="1:14" ht="15.75" customHeight="1">
      <c r="A52" s="160"/>
      <c r="B52" s="209"/>
      <c r="C52" s="209"/>
      <c r="D52" s="209"/>
      <c r="E52" s="209"/>
      <c r="F52" s="209"/>
      <c r="G52" s="209"/>
      <c r="H52" s="209"/>
      <c r="I52" s="160"/>
      <c r="J52" s="160"/>
      <c r="K52" s="160"/>
      <c r="L52" s="160"/>
      <c r="M52" s="160"/>
      <c r="N52" s="160"/>
    </row>
    <row r="53" spans="1:14" ht="15.75" customHeight="1">
      <c r="A53" s="160"/>
      <c r="B53" s="209"/>
      <c r="C53" s="209"/>
      <c r="D53" s="209"/>
      <c r="E53" s="209"/>
      <c r="F53" s="209"/>
      <c r="G53" s="209"/>
      <c r="H53" s="209"/>
      <c r="I53" s="160"/>
      <c r="J53" s="160"/>
      <c r="K53" s="160"/>
      <c r="L53" s="160"/>
      <c r="M53" s="160"/>
      <c r="N53" s="160"/>
    </row>
    <row r="54" spans="1:14" ht="15.75" customHeight="1">
      <c r="A54" s="160"/>
      <c r="B54" s="209"/>
      <c r="C54" s="209"/>
      <c r="D54" s="209"/>
      <c r="E54" s="209"/>
      <c r="F54" s="209"/>
      <c r="G54" s="209"/>
      <c r="H54" s="209"/>
      <c r="I54" s="160"/>
      <c r="J54" s="160"/>
      <c r="K54" s="160"/>
      <c r="L54" s="160"/>
      <c r="M54" s="160"/>
      <c r="N54" s="160"/>
    </row>
    <row r="55" spans="1:14" ht="15.75" customHeight="1">
      <c r="A55" s="160"/>
      <c r="B55" s="209"/>
      <c r="C55" s="209"/>
      <c r="D55" s="209"/>
      <c r="E55" s="209"/>
      <c r="F55" s="209"/>
      <c r="G55" s="209"/>
      <c r="H55" s="209"/>
      <c r="I55" s="160"/>
      <c r="J55" s="160"/>
      <c r="K55" s="160"/>
      <c r="L55" s="160"/>
      <c r="M55" s="160"/>
      <c r="N55" s="160"/>
    </row>
    <row r="56" spans="1:14" ht="15.75" customHeight="1">
      <c r="A56" s="160"/>
      <c r="B56" s="209"/>
      <c r="C56" s="209"/>
      <c r="D56" s="209"/>
      <c r="E56" s="209"/>
      <c r="F56" s="209"/>
      <c r="G56" s="209"/>
      <c r="H56" s="209"/>
      <c r="I56" s="160"/>
      <c r="J56" s="160"/>
      <c r="K56" s="160"/>
      <c r="L56" s="160"/>
      <c r="M56" s="160"/>
      <c r="N56" s="160"/>
    </row>
    <row r="57" spans="1:14" ht="15.75" customHeight="1">
      <c r="A57" s="160"/>
      <c r="B57" s="209"/>
      <c r="C57" s="209"/>
      <c r="D57" s="209"/>
      <c r="E57" s="209"/>
      <c r="F57" s="209"/>
      <c r="G57" s="209"/>
      <c r="H57" s="209"/>
      <c r="I57" s="160"/>
      <c r="J57" s="160"/>
      <c r="K57" s="160"/>
      <c r="L57" s="160"/>
      <c r="M57" s="160"/>
      <c r="N57" s="160"/>
    </row>
    <row r="58" spans="1:14" ht="15.75" customHeight="1">
      <c r="A58" s="160"/>
      <c r="B58" s="209"/>
      <c r="C58" s="209"/>
      <c r="D58" s="209"/>
      <c r="E58" s="209"/>
      <c r="F58" s="209"/>
      <c r="G58" s="209"/>
      <c r="H58" s="209"/>
      <c r="I58" s="160"/>
      <c r="J58" s="160"/>
      <c r="K58" s="160"/>
      <c r="L58" s="160"/>
      <c r="M58" s="160"/>
      <c r="N58" s="160"/>
    </row>
    <row r="59" spans="1:14" ht="15.75" customHeight="1">
      <c r="A59" s="160"/>
      <c r="B59" s="209"/>
      <c r="C59" s="209"/>
      <c r="D59" s="209"/>
      <c r="E59" s="209"/>
      <c r="F59" s="209"/>
      <c r="G59" s="209"/>
      <c r="H59" s="209"/>
      <c r="I59" s="160"/>
      <c r="J59" s="160"/>
      <c r="K59" s="160"/>
      <c r="L59" s="160"/>
      <c r="M59" s="160"/>
      <c r="N59" s="160"/>
    </row>
    <row r="60" spans="1:14" ht="15.75" customHeight="1">
      <c r="A60" s="160"/>
      <c r="B60" s="209"/>
      <c r="C60" s="209"/>
      <c r="D60" s="209"/>
      <c r="E60" s="209"/>
      <c r="F60" s="209"/>
      <c r="G60" s="209"/>
      <c r="H60" s="209"/>
      <c r="I60" s="160"/>
      <c r="J60" s="160"/>
      <c r="K60" s="160"/>
      <c r="L60" s="160"/>
      <c r="M60" s="160"/>
      <c r="N60" s="160"/>
    </row>
    <row r="61" spans="1:14" ht="15.75" customHeight="1">
      <c r="A61" s="160"/>
      <c r="B61" s="209"/>
      <c r="C61" s="209"/>
      <c r="D61" s="209"/>
      <c r="E61" s="209"/>
      <c r="F61" s="209"/>
      <c r="G61" s="209"/>
      <c r="H61" s="209"/>
      <c r="I61" s="160"/>
      <c r="J61" s="160"/>
      <c r="K61" s="160"/>
      <c r="L61" s="160"/>
      <c r="M61" s="160"/>
      <c r="N61" s="160"/>
    </row>
    <row r="62" spans="1:14" ht="15.75" customHeight="1">
      <c r="A62" s="160"/>
      <c r="B62" s="209"/>
      <c r="C62" s="209"/>
      <c r="D62" s="209"/>
      <c r="E62" s="209"/>
      <c r="F62" s="209"/>
      <c r="G62" s="209"/>
      <c r="H62" s="209"/>
      <c r="I62" s="160"/>
      <c r="J62" s="160"/>
      <c r="K62" s="160"/>
      <c r="L62" s="160"/>
      <c r="M62" s="160"/>
      <c r="N62" s="160"/>
    </row>
    <row r="63" spans="1:14" ht="15.75" customHeight="1">
      <c r="A63" s="160"/>
      <c r="B63" s="209"/>
      <c r="C63" s="209"/>
      <c r="D63" s="209"/>
      <c r="E63" s="209"/>
      <c r="F63" s="209"/>
      <c r="G63" s="209"/>
      <c r="H63" s="209"/>
      <c r="I63" s="160"/>
      <c r="J63" s="160"/>
      <c r="K63" s="160"/>
      <c r="L63" s="160"/>
      <c r="M63" s="160"/>
      <c r="N63" s="160"/>
    </row>
    <row r="64" spans="1:14" ht="15.75" customHeight="1">
      <c r="A64" s="160"/>
      <c r="B64" s="209"/>
      <c r="C64" s="209"/>
      <c r="D64" s="209"/>
      <c r="E64" s="209"/>
      <c r="F64" s="209"/>
      <c r="G64" s="209"/>
      <c r="H64" s="209"/>
      <c r="I64" s="160"/>
      <c r="J64" s="160"/>
      <c r="K64" s="160"/>
      <c r="L64" s="160"/>
      <c r="M64" s="160"/>
      <c r="N64" s="160"/>
    </row>
    <row r="65" spans="1:14" ht="15.75" customHeight="1">
      <c r="A65" s="160"/>
      <c r="B65" s="209"/>
      <c r="C65" s="209"/>
      <c r="D65" s="209"/>
      <c r="E65" s="209"/>
      <c r="F65" s="209"/>
      <c r="G65" s="209"/>
      <c r="H65" s="209"/>
      <c r="I65" s="160"/>
      <c r="J65" s="160"/>
      <c r="K65" s="160"/>
      <c r="L65" s="160"/>
      <c r="M65" s="160"/>
      <c r="N65" s="160"/>
    </row>
    <row r="66" spans="1:14" ht="15.75" customHeight="1">
      <c r="A66" s="160"/>
      <c r="B66" s="209"/>
      <c r="C66" s="209"/>
      <c r="D66" s="209"/>
      <c r="E66" s="209"/>
      <c r="F66" s="209"/>
      <c r="G66" s="209"/>
      <c r="H66" s="209"/>
      <c r="I66" s="160"/>
      <c r="J66" s="160"/>
      <c r="K66" s="160"/>
      <c r="L66" s="160"/>
      <c r="M66" s="160"/>
      <c r="N66" s="160"/>
    </row>
    <row r="67" spans="1:14" ht="15.75" customHeight="1">
      <c r="A67" s="160"/>
      <c r="B67" s="209"/>
      <c r="C67" s="209"/>
      <c r="D67" s="209"/>
      <c r="E67" s="209"/>
      <c r="F67" s="209"/>
      <c r="G67" s="209"/>
      <c r="H67" s="209"/>
      <c r="I67" s="160"/>
      <c r="J67" s="160"/>
      <c r="K67" s="160"/>
      <c r="L67" s="160"/>
      <c r="M67" s="160"/>
      <c r="N67" s="160"/>
    </row>
    <row r="68" spans="1:14" ht="15.75" customHeight="1">
      <c r="A68" s="160"/>
      <c r="B68" s="209"/>
      <c r="C68" s="209"/>
      <c r="D68" s="209"/>
      <c r="E68" s="209"/>
      <c r="F68" s="209"/>
      <c r="G68" s="209"/>
      <c r="H68" s="209"/>
      <c r="I68" s="160"/>
      <c r="J68" s="160"/>
      <c r="K68" s="160"/>
      <c r="L68" s="160"/>
      <c r="M68" s="160"/>
      <c r="N68" s="160"/>
    </row>
    <row r="69" spans="1:14" ht="15.75" customHeight="1">
      <c r="A69" s="160"/>
      <c r="B69" s="209"/>
      <c r="C69" s="209"/>
      <c r="D69" s="209"/>
      <c r="E69" s="209"/>
      <c r="F69" s="209"/>
      <c r="G69" s="209"/>
      <c r="H69" s="209"/>
      <c r="I69" s="160"/>
      <c r="J69" s="160"/>
      <c r="K69" s="160"/>
      <c r="L69" s="160"/>
      <c r="M69" s="160"/>
      <c r="N69" s="160"/>
    </row>
    <row r="70" spans="1:14" ht="15.75" customHeight="1">
      <c r="A70" s="160"/>
      <c r="B70" s="209"/>
      <c r="C70" s="209"/>
      <c r="D70" s="209"/>
      <c r="E70" s="209"/>
      <c r="F70" s="209"/>
      <c r="G70" s="209"/>
      <c r="H70" s="209"/>
      <c r="I70" s="160"/>
      <c r="J70" s="160"/>
      <c r="K70" s="160"/>
      <c r="L70" s="160"/>
      <c r="M70" s="160"/>
      <c r="N70" s="160"/>
    </row>
    <row r="71" spans="1:14" ht="15.75" customHeight="1">
      <c r="A71" s="160"/>
      <c r="B71" s="209"/>
      <c r="C71" s="209"/>
      <c r="D71" s="209"/>
      <c r="E71" s="209"/>
      <c r="F71" s="209"/>
      <c r="G71" s="209"/>
      <c r="H71" s="209"/>
      <c r="I71" s="160"/>
      <c r="J71" s="160"/>
      <c r="K71" s="160"/>
      <c r="L71" s="160"/>
      <c r="M71" s="160"/>
      <c r="N71" s="160"/>
    </row>
    <row r="72" spans="1:14" ht="15.75" customHeight="1">
      <c r="A72" s="160"/>
      <c r="B72" s="209"/>
      <c r="C72" s="209"/>
      <c r="D72" s="209"/>
      <c r="E72" s="209"/>
      <c r="F72" s="209"/>
      <c r="G72" s="209"/>
      <c r="H72" s="209"/>
      <c r="I72" s="160"/>
      <c r="J72" s="160"/>
      <c r="K72" s="160"/>
      <c r="L72" s="160"/>
      <c r="M72" s="160"/>
      <c r="N72" s="160"/>
    </row>
    <row r="73" spans="1:14" ht="15.75" customHeight="1">
      <c r="A73" s="160"/>
      <c r="B73" s="209"/>
      <c r="C73" s="209"/>
      <c r="D73" s="209"/>
      <c r="E73" s="209"/>
      <c r="F73" s="209"/>
      <c r="G73" s="209"/>
      <c r="H73" s="209"/>
      <c r="I73" s="160"/>
      <c r="J73" s="160"/>
      <c r="K73" s="160"/>
      <c r="L73" s="160"/>
      <c r="M73" s="160"/>
      <c r="N73" s="160"/>
    </row>
    <row r="74" spans="1:14" ht="15.75" customHeight="1">
      <c r="A74" s="160"/>
      <c r="B74" s="209"/>
      <c r="C74" s="209"/>
      <c r="D74" s="209"/>
      <c r="E74" s="209"/>
      <c r="F74" s="209"/>
      <c r="G74" s="209"/>
      <c r="H74" s="209"/>
      <c r="I74" s="160"/>
      <c r="J74" s="160"/>
      <c r="K74" s="160"/>
      <c r="L74" s="160"/>
      <c r="M74" s="160"/>
      <c r="N74" s="160"/>
    </row>
    <row r="75" spans="1:14" ht="15.75" customHeight="1">
      <c r="A75" s="160"/>
      <c r="B75" s="209"/>
      <c r="C75" s="209"/>
      <c r="D75" s="209"/>
      <c r="E75" s="209"/>
      <c r="F75" s="209"/>
      <c r="G75" s="209"/>
      <c r="H75" s="209"/>
      <c r="I75" s="160"/>
      <c r="J75" s="160"/>
      <c r="K75" s="160"/>
      <c r="L75" s="160"/>
      <c r="M75" s="160"/>
      <c r="N75" s="160"/>
    </row>
    <row r="76" spans="1:14" ht="15.75" customHeight="1">
      <c r="A76" s="160"/>
      <c r="B76" s="209"/>
      <c r="C76" s="209"/>
      <c r="D76" s="209"/>
      <c r="E76" s="209"/>
      <c r="F76" s="209"/>
      <c r="G76" s="209"/>
      <c r="H76" s="209"/>
      <c r="I76" s="160"/>
      <c r="J76" s="160"/>
      <c r="K76" s="160"/>
      <c r="L76" s="160"/>
      <c r="M76" s="160"/>
      <c r="N76" s="160"/>
    </row>
    <row r="77" spans="1:14" ht="15.75" customHeight="1">
      <c r="A77" s="160"/>
      <c r="B77" s="209"/>
      <c r="C77" s="209"/>
      <c r="D77" s="209"/>
      <c r="E77" s="209"/>
      <c r="F77" s="209"/>
      <c r="G77" s="209"/>
      <c r="H77" s="209"/>
      <c r="I77" s="160"/>
      <c r="J77" s="160"/>
      <c r="K77" s="160"/>
      <c r="L77" s="160"/>
      <c r="M77" s="160"/>
      <c r="N77" s="160"/>
    </row>
    <row r="78" spans="1:14" ht="15.75" customHeight="1">
      <c r="A78" s="160"/>
      <c r="B78" s="209"/>
      <c r="C78" s="209"/>
      <c r="D78" s="209"/>
      <c r="E78" s="209"/>
      <c r="F78" s="209"/>
      <c r="G78" s="209"/>
      <c r="H78" s="209"/>
      <c r="I78" s="160"/>
      <c r="J78" s="160"/>
      <c r="K78" s="160"/>
      <c r="L78" s="160"/>
      <c r="M78" s="160"/>
      <c r="N78" s="160"/>
    </row>
    <row r="79" spans="1:14" ht="15.75" customHeight="1">
      <c r="A79" s="160"/>
      <c r="B79" s="209"/>
      <c r="C79" s="209"/>
      <c r="D79" s="209"/>
      <c r="E79" s="209"/>
      <c r="F79" s="209"/>
      <c r="G79" s="209"/>
      <c r="H79" s="209"/>
      <c r="I79" s="160"/>
      <c r="J79" s="160"/>
      <c r="K79" s="160"/>
      <c r="L79" s="160"/>
      <c r="M79" s="160"/>
      <c r="N79" s="160"/>
    </row>
    <row r="80" spans="1:14" ht="15.75" customHeight="1">
      <c r="A80" s="160"/>
      <c r="B80" s="209"/>
      <c r="C80" s="209"/>
      <c r="D80" s="209"/>
      <c r="E80" s="209"/>
      <c r="F80" s="209"/>
      <c r="G80" s="209"/>
      <c r="H80" s="209"/>
      <c r="I80" s="160"/>
      <c r="J80" s="160"/>
      <c r="K80" s="160"/>
      <c r="L80" s="160"/>
      <c r="M80" s="160"/>
      <c r="N80" s="160"/>
    </row>
    <row r="81" spans="1:14" ht="15.75" customHeight="1">
      <c r="A81" s="160"/>
      <c r="B81" s="209"/>
      <c r="C81" s="209"/>
      <c r="D81" s="209"/>
      <c r="E81" s="209"/>
      <c r="F81" s="209"/>
      <c r="G81" s="209"/>
      <c r="H81" s="209"/>
      <c r="I81" s="160"/>
      <c r="J81" s="160"/>
      <c r="K81" s="160"/>
      <c r="L81" s="160"/>
      <c r="M81" s="160"/>
      <c r="N81" s="160"/>
    </row>
    <row r="82" spans="1:14" ht="15.75" customHeight="1">
      <c r="A82" s="160"/>
      <c r="B82" s="209"/>
      <c r="C82" s="209"/>
      <c r="D82" s="209"/>
      <c r="E82" s="209"/>
      <c r="F82" s="209"/>
      <c r="G82" s="209"/>
      <c r="H82" s="209"/>
      <c r="I82" s="160"/>
      <c r="J82" s="160"/>
      <c r="K82" s="160"/>
      <c r="L82" s="160"/>
      <c r="M82" s="160"/>
      <c r="N82" s="160"/>
    </row>
    <row r="83" spans="1:14" ht="15.75" customHeight="1">
      <c r="A83" s="160"/>
      <c r="B83" s="209"/>
      <c r="C83" s="209"/>
      <c r="D83" s="209"/>
      <c r="E83" s="209"/>
      <c r="F83" s="209"/>
      <c r="G83" s="209"/>
      <c r="H83" s="209"/>
      <c r="I83" s="160"/>
      <c r="J83" s="160"/>
      <c r="K83" s="160"/>
      <c r="L83" s="160"/>
      <c r="M83" s="160"/>
      <c r="N83" s="160"/>
    </row>
    <row r="84" spans="1:14" ht="15.75" customHeight="1">
      <c r="A84" s="160"/>
      <c r="B84" s="209"/>
      <c r="C84" s="209"/>
      <c r="D84" s="209"/>
      <c r="E84" s="209"/>
      <c r="F84" s="209"/>
      <c r="G84" s="209"/>
      <c r="H84" s="209"/>
      <c r="I84" s="160"/>
      <c r="J84" s="160"/>
      <c r="K84" s="160"/>
      <c r="L84" s="160"/>
      <c r="M84" s="160"/>
      <c r="N84" s="160"/>
    </row>
    <row r="85" spans="1:14" ht="15.75" customHeight="1">
      <c r="A85" s="160"/>
      <c r="B85" s="209"/>
      <c r="C85" s="209"/>
      <c r="D85" s="209"/>
      <c r="E85" s="209"/>
      <c r="F85" s="209"/>
      <c r="G85" s="209"/>
      <c r="H85" s="209"/>
      <c r="I85" s="160"/>
      <c r="J85" s="160"/>
      <c r="K85" s="160"/>
      <c r="L85" s="160"/>
      <c r="M85" s="160"/>
      <c r="N85" s="160"/>
    </row>
    <row r="86" spans="1:14" ht="15.75" customHeight="1">
      <c r="A86" s="160"/>
      <c r="B86" s="209"/>
      <c r="C86" s="209"/>
      <c r="D86" s="209"/>
      <c r="E86" s="209"/>
      <c r="F86" s="209"/>
      <c r="G86" s="209"/>
      <c r="H86" s="209"/>
      <c r="I86" s="160"/>
      <c r="J86" s="160"/>
      <c r="K86" s="160"/>
      <c r="L86" s="160"/>
      <c r="M86" s="160"/>
      <c r="N86" s="160"/>
    </row>
    <row r="87" spans="1:14" ht="15.75" customHeight="1">
      <c r="A87" s="160"/>
      <c r="B87" s="209"/>
      <c r="C87" s="209"/>
      <c r="D87" s="209"/>
      <c r="E87" s="209"/>
      <c r="F87" s="209"/>
      <c r="G87" s="209"/>
      <c r="H87" s="209"/>
      <c r="I87" s="160"/>
      <c r="J87" s="160"/>
      <c r="K87" s="160"/>
      <c r="L87" s="160"/>
      <c r="M87" s="160"/>
      <c r="N87" s="160"/>
    </row>
    <row r="88" spans="1:14" ht="15.75" customHeight="1">
      <c r="A88" s="160"/>
      <c r="B88" s="209"/>
      <c r="C88" s="209"/>
      <c r="D88" s="209"/>
      <c r="E88" s="209"/>
      <c r="F88" s="209"/>
      <c r="G88" s="209"/>
      <c r="H88" s="209"/>
      <c r="I88" s="160"/>
      <c r="J88" s="160"/>
      <c r="K88" s="160"/>
      <c r="L88" s="160"/>
      <c r="M88" s="160"/>
      <c r="N88" s="160"/>
    </row>
    <row r="89" spans="1:14" ht="15.75" customHeight="1">
      <c r="A89" s="160"/>
      <c r="B89" s="209"/>
      <c r="C89" s="209"/>
      <c r="D89" s="209"/>
      <c r="E89" s="209"/>
      <c r="F89" s="209"/>
      <c r="G89" s="209"/>
      <c r="H89" s="209"/>
      <c r="I89" s="160"/>
      <c r="J89" s="160"/>
      <c r="K89" s="160"/>
      <c r="L89" s="160"/>
      <c r="M89" s="160"/>
      <c r="N89" s="160"/>
    </row>
    <row r="90" spans="1:14" ht="15.75" customHeight="1">
      <c r="A90" s="160"/>
      <c r="B90" s="209"/>
      <c r="C90" s="209"/>
      <c r="D90" s="209"/>
      <c r="E90" s="209"/>
      <c r="F90" s="209"/>
      <c r="G90" s="209"/>
      <c r="H90" s="209"/>
      <c r="I90" s="160"/>
      <c r="J90" s="160"/>
      <c r="K90" s="160"/>
      <c r="L90" s="160"/>
      <c r="M90" s="160"/>
      <c r="N90" s="160"/>
    </row>
    <row r="91" spans="1:14" ht="15.75" customHeight="1">
      <c r="A91" s="160"/>
      <c r="B91" s="209"/>
      <c r="C91" s="209"/>
      <c r="D91" s="209"/>
      <c r="E91" s="209"/>
      <c r="F91" s="209"/>
      <c r="G91" s="209"/>
      <c r="H91" s="209"/>
      <c r="I91" s="160"/>
      <c r="J91" s="160"/>
      <c r="K91" s="160"/>
      <c r="L91" s="160"/>
      <c r="M91" s="160"/>
      <c r="N91" s="160"/>
    </row>
    <row r="92" spans="1:14" ht="15.75" customHeight="1">
      <c r="A92" s="160"/>
      <c r="B92" s="209"/>
      <c r="C92" s="209"/>
      <c r="D92" s="209"/>
      <c r="E92" s="209"/>
      <c r="F92" s="209"/>
      <c r="G92" s="209"/>
      <c r="H92" s="209"/>
      <c r="I92" s="160"/>
      <c r="J92" s="160"/>
      <c r="K92" s="160"/>
      <c r="L92" s="160"/>
      <c r="M92" s="160"/>
      <c r="N92" s="160"/>
    </row>
    <row r="93" spans="1:14" ht="15.75" customHeight="1">
      <c r="A93" s="160"/>
      <c r="B93" s="209"/>
      <c r="C93" s="209"/>
      <c r="D93" s="209"/>
      <c r="E93" s="209"/>
      <c r="F93" s="209"/>
      <c r="G93" s="209"/>
      <c r="H93" s="209"/>
      <c r="I93" s="160"/>
      <c r="J93" s="160"/>
      <c r="K93" s="160"/>
      <c r="L93" s="160"/>
      <c r="M93" s="160"/>
      <c r="N93" s="160"/>
    </row>
    <row r="94" spans="1:14" ht="15.75" customHeight="1">
      <c r="A94" s="160"/>
      <c r="B94" s="209"/>
      <c r="C94" s="209"/>
      <c r="D94" s="209"/>
      <c r="E94" s="209"/>
      <c r="F94" s="209"/>
      <c r="G94" s="209"/>
      <c r="H94" s="209"/>
      <c r="I94" s="160"/>
      <c r="J94" s="160"/>
      <c r="K94" s="160"/>
      <c r="L94" s="160"/>
      <c r="M94" s="160"/>
      <c r="N94" s="160"/>
    </row>
    <row r="95" spans="1:14" ht="15.75" customHeight="1">
      <c r="A95" s="160"/>
      <c r="B95" s="209"/>
      <c r="C95" s="209"/>
      <c r="D95" s="209"/>
      <c r="E95" s="209"/>
      <c r="F95" s="209"/>
      <c r="G95" s="209"/>
      <c r="H95" s="209"/>
      <c r="I95" s="160"/>
      <c r="J95" s="160"/>
      <c r="K95" s="160"/>
      <c r="L95" s="160"/>
      <c r="M95" s="160"/>
      <c r="N95" s="160"/>
    </row>
    <row r="96" spans="1:14" ht="15.75" customHeight="1">
      <c r="A96" s="160"/>
      <c r="B96" s="209"/>
      <c r="C96" s="209"/>
      <c r="D96" s="209"/>
      <c r="E96" s="209"/>
      <c r="F96" s="209"/>
      <c r="G96" s="209"/>
      <c r="H96" s="209"/>
      <c r="I96" s="160"/>
      <c r="J96" s="160"/>
      <c r="K96" s="160"/>
      <c r="L96" s="160"/>
      <c r="M96" s="160"/>
      <c r="N96" s="160"/>
    </row>
    <row r="97" spans="1:14" ht="15.75" customHeight="1">
      <c r="A97" s="160"/>
      <c r="B97" s="209"/>
      <c r="C97" s="209"/>
      <c r="D97" s="209"/>
      <c r="E97" s="209"/>
      <c r="F97" s="209"/>
      <c r="G97" s="209"/>
      <c r="H97" s="209"/>
      <c r="I97" s="160"/>
      <c r="J97" s="160"/>
      <c r="K97" s="160"/>
      <c r="L97" s="160"/>
      <c r="M97" s="160"/>
      <c r="N97" s="160"/>
    </row>
    <row r="98" spans="1:14" ht="15.75" customHeight="1">
      <c r="A98" s="160"/>
      <c r="B98" s="209"/>
      <c r="C98" s="209"/>
      <c r="D98" s="209"/>
      <c r="E98" s="209"/>
      <c r="F98" s="209"/>
      <c r="G98" s="209"/>
      <c r="H98" s="209"/>
      <c r="I98" s="160"/>
      <c r="J98" s="160"/>
      <c r="K98" s="160"/>
      <c r="L98" s="160"/>
      <c r="M98" s="160"/>
      <c r="N98" s="160"/>
    </row>
    <row r="99" spans="1:14" ht="15.75" customHeight="1">
      <c r="A99" s="160"/>
      <c r="B99" s="209"/>
      <c r="C99" s="209"/>
      <c r="D99" s="209"/>
      <c r="E99" s="209"/>
      <c r="F99" s="209"/>
      <c r="G99" s="209"/>
      <c r="H99" s="209"/>
      <c r="I99" s="160"/>
      <c r="J99" s="160"/>
      <c r="K99" s="160"/>
      <c r="L99" s="160"/>
      <c r="M99" s="160"/>
      <c r="N99" s="160"/>
    </row>
    <row r="100" spans="1:14" ht="15.75" customHeight="1">
      <c r="A100" s="160"/>
      <c r="B100" s="209"/>
      <c r="C100" s="209"/>
      <c r="D100" s="209"/>
      <c r="E100" s="209"/>
      <c r="F100" s="209"/>
      <c r="G100" s="209"/>
      <c r="H100" s="209"/>
      <c r="I100" s="160"/>
      <c r="J100" s="160"/>
      <c r="K100" s="160"/>
      <c r="L100" s="160"/>
      <c r="M100" s="160"/>
      <c r="N100" s="160"/>
    </row>
    <row r="101" spans="1:14" ht="15.75" customHeight="1">
      <c r="A101" s="160"/>
      <c r="B101" s="209"/>
      <c r="C101" s="209"/>
      <c r="D101" s="209"/>
      <c r="E101" s="209"/>
      <c r="F101" s="209"/>
      <c r="G101" s="209"/>
      <c r="H101" s="209"/>
      <c r="I101" s="160"/>
      <c r="J101" s="160"/>
      <c r="K101" s="160"/>
      <c r="L101" s="160"/>
      <c r="M101" s="160"/>
      <c r="N101" s="160"/>
    </row>
    <row r="102" spans="1:14" ht="15.75" customHeight="1">
      <c r="A102" s="160"/>
      <c r="B102" s="209"/>
      <c r="C102" s="209"/>
      <c r="D102" s="209"/>
      <c r="E102" s="209"/>
      <c r="F102" s="209"/>
      <c r="G102" s="209"/>
      <c r="H102" s="209"/>
      <c r="I102" s="160"/>
      <c r="J102" s="160"/>
      <c r="K102" s="160"/>
      <c r="L102" s="160"/>
      <c r="M102" s="160"/>
      <c r="N102" s="160"/>
    </row>
    <row r="103" spans="1:14" ht="15.75" customHeight="1">
      <c r="A103" s="160"/>
      <c r="B103" s="209"/>
      <c r="C103" s="209"/>
      <c r="D103" s="209"/>
      <c r="E103" s="209"/>
      <c r="F103" s="209"/>
      <c r="G103" s="209"/>
      <c r="H103" s="209"/>
      <c r="I103" s="160"/>
      <c r="J103" s="160"/>
      <c r="K103" s="160"/>
      <c r="L103" s="160"/>
      <c r="M103" s="160"/>
      <c r="N103" s="160"/>
    </row>
    <row r="104" spans="1:14" ht="15.75" customHeight="1">
      <c r="A104" s="160"/>
      <c r="B104" s="209"/>
      <c r="C104" s="209"/>
      <c r="D104" s="209"/>
      <c r="E104" s="209"/>
      <c r="F104" s="209"/>
      <c r="G104" s="209"/>
      <c r="H104" s="209"/>
      <c r="I104" s="160"/>
      <c r="J104" s="160"/>
      <c r="K104" s="160"/>
      <c r="L104" s="160"/>
      <c r="M104" s="160"/>
      <c r="N104" s="160"/>
    </row>
    <row r="105" spans="1:14" ht="15.75" customHeight="1">
      <c r="A105" s="160"/>
      <c r="B105" s="209"/>
      <c r="C105" s="209"/>
      <c r="D105" s="209"/>
      <c r="E105" s="209"/>
      <c r="F105" s="209"/>
      <c r="G105" s="209"/>
      <c r="H105" s="209"/>
      <c r="I105" s="160"/>
      <c r="J105" s="160"/>
      <c r="K105" s="160"/>
      <c r="L105" s="160"/>
      <c r="M105" s="160"/>
      <c r="N105" s="160"/>
    </row>
    <row r="106" spans="1:14" ht="15.75" customHeight="1">
      <c r="A106" s="160"/>
      <c r="B106" s="209"/>
      <c r="C106" s="209"/>
      <c r="D106" s="209"/>
      <c r="E106" s="209"/>
      <c r="F106" s="209"/>
      <c r="G106" s="209"/>
      <c r="H106" s="209"/>
      <c r="I106" s="160"/>
      <c r="J106" s="160"/>
      <c r="K106" s="160"/>
      <c r="L106" s="160"/>
      <c r="M106" s="160"/>
      <c r="N106" s="160"/>
    </row>
    <row r="107" spans="1:14" ht="15.75" customHeight="1">
      <c r="A107" s="160"/>
      <c r="B107" s="209"/>
      <c r="C107" s="209"/>
      <c r="D107" s="209"/>
      <c r="E107" s="209"/>
      <c r="F107" s="209"/>
      <c r="G107" s="209"/>
      <c r="H107" s="209"/>
      <c r="I107" s="160"/>
      <c r="J107" s="160"/>
      <c r="K107" s="160"/>
      <c r="L107" s="160"/>
      <c r="M107" s="160"/>
      <c r="N107" s="160"/>
    </row>
    <row r="108" spans="1:14" ht="15.75" customHeight="1">
      <c r="A108" s="160"/>
      <c r="B108" s="209"/>
      <c r="C108" s="209"/>
      <c r="D108" s="209"/>
      <c r="E108" s="209"/>
      <c r="F108" s="209"/>
      <c r="G108" s="209"/>
      <c r="H108" s="209"/>
      <c r="I108" s="160"/>
      <c r="J108" s="160"/>
      <c r="K108" s="160"/>
      <c r="L108" s="160"/>
      <c r="M108" s="160"/>
      <c r="N108" s="160"/>
    </row>
    <row r="109" spans="1:14" ht="15.75" customHeight="1">
      <c r="A109" s="160"/>
      <c r="B109" s="209"/>
      <c r="C109" s="209"/>
      <c r="D109" s="209"/>
      <c r="E109" s="209"/>
      <c r="F109" s="209"/>
      <c r="G109" s="209"/>
      <c r="H109" s="209"/>
      <c r="I109" s="160"/>
      <c r="J109" s="160"/>
      <c r="K109" s="160"/>
      <c r="L109" s="160"/>
      <c r="M109" s="160"/>
      <c r="N109" s="160"/>
    </row>
    <row r="110" spans="1:14" ht="15.75" customHeight="1">
      <c r="A110" s="160"/>
      <c r="B110" s="209"/>
      <c r="C110" s="209"/>
      <c r="D110" s="209"/>
      <c r="E110" s="209"/>
      <c r="F110" s="209"/>
      <c r="G110" s="209"/>
      <c r="H110" s="209"/>
      <c r="I110" s="160"/>
      <c r="J110" s="160"/>
      <c r="K110" s="160"/>
      <c r="L110" s="160"/>
      <c r="M110" s="160"/>
      <c r="N110" s="160"/>
    </row>
    <row r="111" spans="1:14" ht="15.75" customHeight="1">
      <c r="A111" s="160"/>
      <c r="B111" s="209"/>
      <c r="C111" s="209"/>
      <c r="D111" s="209"/>
      <c r="E111" s="209"/>
      <c r="F111" s="209"/>
      <c r="G111" s="209"/>
      <c r="H111" s="209"/>
      <c r="I111" s="160"/>
      <c r="J111" s="160"/>
      <c r="K111" s="160"/>
      <c r="L111" s="160"/>
      <c r="M111" s="160"/>
      <c r="N111" s="160"/>
    </row>
    <row r="112" spans="1:14" ht="15.75" customHeight="1">
      <c r="A112" s="160"/>
      <c r="B112" s="209"/>
      <c r="C112" s="209"/>
      <c r="D112" s="209"/>
      <c r="E112" s="209"/>
      <c r="F112" s="209"/>
      <c r="G112" s="209"/>
      <c r="H112" s="209"/>
      <c r="I112" s="160"/>
      <c r="J112" s="160"/>
      <c r="K112" s="160"/>
      <c r="L112" s="160"/>
      <c r="M112" s="160"/>
      <c r="N112" s="160"/>
    </row>
    <row r="113" spans="1:14" ht="15.75" customHeight="1">
      <c r="A113" s="160"/>
      <c r="B113" s="209"/>
      <c r="C113" s="209"/>
      <c r="D113" s="209"/>
      <c r="E113" s="209"/>
      <c r="F113" s="209"/>
      <c r="G113" s="209"/>
      <c r="H113" s="209"/>
      <c r="I113" s="160"/>
      <c r="J113" s="160"/>
      <c r="K113" s="160"/>
      <c r="L113" s="160"/>
      <c r="M113" s="160"/>
      <c r="N113" s="160"/>
    </row>
    <row r="114" spans="1:14" ht="15.75" customHeight="1">
      <c r="A114" s="160"/>
      <c r="B114" s="209"/>
      <c r="C114" s="209"/>
      <c r="D114" s="209"/>
      <c r="E114" s="209"/>
      <c r="F114" s="209"/>
      <c r="G114" s="209"/>
      <c r="H114" s="209"/>
      <c r="I114" s="160"/>
      <c r="J114" s="160"/>
      <c r="K114" s="160"/>
      <c r="L114" s="160"/>
      <c r="M114" s="160"/>
      <c r="N114" s="160"/>
    </row>
    <row r="115" spans="1:14" ht="15.75" customHeight="1">
      <c r="A115" s="160"/>
      <c r="B115" s="209"/>
      <c r="C115" s="209"/>
      <c r="D115" s="209"/>
      <c r="E115" s="209"/>
      <c r="F115" s="209"/>
      <c r="G115" s="209"/>
      <c r="H115" s="209"/>
      <c r="I115" s="160"/>
      <c r="J115" s="160"/>
      <c r="K115" s="160"/>
      <c r="L115" s="160"/>
      <c r="M115" s="160"/>
      <c r="N115" s="160"/>
    </row>
    <row r="116" spans="1:14" ht="15.75" customHeight="1">
      <c r="A116" s="160"/>
      <c r="B116" s="209"/>
      <c r="C116" s="209"/>
      <c r="D116" s="209"/>
      <c r="E116" s="209"/>
      <c r="F116" s="209"/>
      <c r="G116" s="209"/>
      <c r="H116" s="209"/>
      <c r="I116" s="160"/>
      <c r="J116" s="160"/>
      <c r="K116" s="160"/>
      <c r="L116" s="160"/>
      <c r="M116" s="160"/>
      <c r="N116" s="160"/>
    </row>
    <row r="117" spans="1:14" ht="15.75" customHeight="1">
      <c r="A117" s="160"/>
      <c r="B117" s="209"/>
      <c r="C117" s="209"/>
      <c r="D117" s="209"/>
      <c r="E117" s="209"/>
      <c r="F117" s="209"/>
      <c r="G117" s="209"/>
      <c r="H117" s="209"/>
      <c r="I117" s="160"/>
      <c r="J117" s="160"/>
      <c r="K117" s="160"/>
      <c r="L117" s="160"/>
      <c r="M117" s="160"/>
      <c r="N117" s="160"/>
    </row>
    <row r="118" spans="1:14" ht="15.75" customHeight="1">
      <c r="A118" s="160"/>
      <c r="B118" s="209"/>
      <c r="C118" s="209"/>
      <c r="D118" s="209"/>
      <c r="E118" s="209"/>
      <c r="F118" s="209"/>
      <c r="G118" s="209"/>
      <c r="H118" s="209"/>
      <c r="I118" s="160"/>
      <c r="J118" s="160"/>
      <c r="K118" s="160"/>
      <c r="L118" s="160"/>
      <c r="M118" s="160"/>
      <c r="N118" s="160"/>
    </row>
    <row r="119" spans="1:14" ht="15.75" customHeight="1">
      <c r="A119" s="160"/>
      <c r="B119" s="209"/>
      <c r="C119" s="209"/>
      <c r="D119" s="209"/>
      <c r="E119" s="209"/>
      <c r="F119" s="209"/>
      <c r="G119" s="209"/>
      <c r="H119" s="209"/>
      <c r="I119" s="160"/>
      <c r="J119" s="160"/>
      <c r="K119" s="160"/>
      <c r="L119" s="160"/>
      <c r="M119" s="160"/>
      <c r="N119" s="160"/>
    </row>
    <row r="120" spans="1:14" ht="15.75" customHeight="1">
      <c r="A120" s="160"/>
      <c r="B120" s="209"/>
      <c r="C120" s="209"/>
      <c r="D120" s="209"/>
      <c r="E120" s="209"/>
      <c r="F120" s="209"/>
      <c r="G120" s="209"/>
      <c r="H120" s="209"/>
      <c r="I120" s="160"/>
      <c r="J120" s="160"/>
      <c r="K120" s="160"/>
      <c r="L120" s="160"/>
      <c r="M120" s="160"/>
      <c r="N120" s="160"/>
    </row>
    <row r="121" spans="1:14" ht="15.75" customHeight="1">
      <c r="A121" s="160"/>
      <c r="B121" s="209"/>
      <c r="C121" s="209"/>
      <c r="D121" s="209"/>
      <c r="E121" s="209"/>
      <c r="F121" s="209"/>
      <c r="G121" s="209"/>
      <c r="H121" s="209"/>
      <c r="I121" s="160"/>
      <c r="J121" s="160"/>
      <c r="K121" s="160"/>
      <c r="L121" s="160"/>
      <c r="M121" s="160"/>
      <c r="N121" s="160"/>
    </row>
    <row r="122" spans="1:14" ht="15.75" customHeight="1">
      <c r="A122" s="160"/>
      <c r="B122" s="209"/>
      <c r="C122" s="209"/>
      <c r="D122" s="209"/>
      <c r="E122" s="209"/>
      <c r="F122" s="209"/>
      <c r="G122" s="209"/>
      <c r="H122" s="209"/>
      <c r="I122" s="160"/>
      <c r="J122" s="160"/>
      <c r="K122" s="160"/>
      <c r="L122" s="160"/>
      <c r="M122" s="160"/>
      <c r="N122" s="160"/>
    </row>
    <row r="123" spans="1:14" ht="15.75" customHeight="1">
      <c r="A123" s="160"/>
      <c r="B123" s="209"/>
      <c r="C123" s="209"/>
      <c r="D123" s="209"/>
      <c r="E123" s="209"/>
      <c r="F123" s="209"/>
      <c r="G123" s="209"/>
      <c r="H123" s="209"/>
      <c r="I123" s="160"/>
      <c r="J123" s="160"/>
      <c r="K123" s="160"/>
      <c r="L123" s="160"/>
      <c r="M123" s="160"/>
      <c r="N123" s="160"/>
    </row>
    <row r="124" spans="1:14" ht="15.75" customHeight="1">
      <c r="A124" s="160"/>
      <c r="B124" s="209"/>
      <c r="C124" s="209"/>
      <c r="D124" s="209"/>
      <c r="E124" s="209"/>
      <c r="F124" s="209"/>
      <c r="G124" s="209"/>
      <c r="H124" s="209"/>
      <c r="I124" s="160"/>
      <c r="J124" s="160"/>
      <c r="K124" s="160"/>
      <c r="L124" s="160"/>
      <c r="M124" s="160"/>
      <c r="N124" s="160"/>
    </row>
    <row r="125" spans="1:14" ht="15.75" customHeight="1">
      <c r="A125" s="160"/>
      <c r="B125" s="209"/>
      <c r="C125" s="209"/>
      <c r="D125" s="209"/>
      <c r="E125" s="209"/>
      <c r="F125" s="209"/>
      <c r="G125" s="209"/>
      <c r="H125" s="209"/>
      <c r="I125" s="160"/>
      <c r="J125" s="160"/>
      <c r="K125" s="160"/>
      <c r="L125" s="160"/>
      <c r="M125" s="160"/>
      <c r="N125" s="160"/>
    </row>
    <row r="126" spans="1:14" ht="15.75" customHeight="1">
      <c r="A126" s="160"/>
      <c r="B126" s="209"/>
      <c r="C126" s="209"/>
      <c r="D126" s="209"/>
      <c r="E126" s="209"/>
      <c r="F126" s="209"/>
      <c r="G126" s="209"/>
      <c r="H126" s="209"/>
      <c r="I126" s="160"/>
      <c r="J126" s="160"/>
      <c r="K126" s="160"/>
      <c r="L126" s="160"/>
      <c r="M126" s="160"/>
      <c r="N126" s="160"/>
    </row>
    <row r="127" spans="1:14" ht="15.75" customHeight="1">
      <c r="A127" s="160"/>
      <c r="B127" s="209"/>
      <c r="C127" s="209"/>
      <c r="D127" s="209"/>
      <c r="E127" s="209"/>
      <c r="F127" s="209"/>
      <c r="G127" s="209"/>
      <c r="H127" s="209"/>
      <c r="I127" s="160"/>
      <c r="J127" s="160"/>
      <c r="K127" s="160"/>
      <c r="L127" s="160"/>
      <c r="M127" s="160"/>
      <c r="N127" s="160"/>
    </row>
    <row r="128" spans="1:14" ht="15.75" customHeight="1">
      <c r="A128" s="160"/>
      <c r="B128" s="209"/>
      <c r="C128" s="209"/>
      <c r="D128" s="209"/>
      <c r="E128" s="209"/>
      <c r="F128" s="209"/>
      <c r="G128" s="209"/>
      <c r="H128" s="209"/>
      <c r="I128" s="160"/>
      <c r="J128" s="160"/>
      <c r="K128" s="160"/>
      <c r="L128" s="160"/>
      <c r="M128" s="160"/>
      <c r="N128" s="160"/>
    </row>
    <row r="129" spans="1:14" ht="15.75" customHeight="1">
      <c r="A129" s="160"/>
      <c r="B129" s="209"/>
      <c r="C129" s="209"/>
      <c r="D129" s="209"/>
      <c r="E129" s="209"/>
      <c r="F129" s="209"/>
      <c r="G129" s="209"/>
      <c r="H129" s="209"/>
      <c r="I129" s="160"/>
      <c r="J129" s="160"/>
      <c r="K129" s="160"/>
      <c r="L129" s="160"/>
      <c r="M129" s="160"/>
      <c r="N129" s="160"/>
    </row>
    <row r="130" spans="1:14" ht="15.75" customHeight="1">
      <c r="A130" s="160"/>
      <c r="B130" s="209"/>
      <c r="C130" s="209"/>
      <c r="D130" s="209"/>
      <c r="E130" s="209"/>
      <c r="F130" s="209"/>
      <c r="G130" s="209"/>
      <c r="H130" s="209"/>
      <c r="I130" s="160"/>
      <c r="J130" s="160"/>
      <c r="K130" s="160"/>
      <c r="L130" s="160"/>
      <c r="M130" s="160"/>
      <c r="N130" s="160"/>
    </row>
    <row r="131" spans="1:14" ht="15.75" customHeight="1">
      <c r="A131" s="160"/>
      <c r="B131" s="209"/>
      <c r="C131" s="209"/>
      <c r="D131" s="209"/>
      <c r="E131" s="209"/>
      <c r="F131" s="209"/>
      <c r="G131" s="209"/>
      <c r="H131" s="209"/>
      <c r="I131" s="160"/>
      <c r="J131" s="160"/>
      <c r="K131" s="160"/>
      <c r="L131" s="160"/>
      <c r="M131" s="160"/>
      <c r="N131" s="160"/>
    </row>
    <row r="132" spans="1:14" ht="15.75" customHeight="1">
      <c r="A132" s="160"/>
      <c r="B132" s="209"/>
      <c r="C132" s="209"/>
      <c r="D132" s="209"/>
      <c r="E132" s="209"/>
      <c r="F132" s="209"/>
      <c r="G132" s="209"/>
      <c r="H132" s="209"/>
      <c r="I132" s="160"/>
      <c r="J132" s="160"/>
      <c r="K132" s="160"/>
      <c r="L132" s="160"/>
      <c r="M132" s="160"/>
      <c r="N132" s="160"/>
    </row>
    <row r="133" spans="1:14" ht="15.75" customHeight="1">
      <c r="A133" s="160"/>
      <c r="B133" s="209"/>
      <c r="C133" s="209"/>
      <c r="D133" s="209"/>
      <c r="E133" s="209"/>
      <c r="F133" s="209"/>
      <c r="G133" s="209"/>
      <c r="H133" s="209"/>
      <c r="I133" s="160"/>
      <c r="J133" s="160"/>
      <c r="K133" s="160"/>
      <c r="L133" s="160"/>
      <c r="M133" s="160"/>
      <c r="N133" s="160"/>
    </row>
    <row r="134" spans="1:14" ht="15.75" customHeight="1">
      <c r="A134" s="160"/>
      <c r="B134" s="209"/>
      <c r="C134" s="209"/>
      <c r="D134" s="209"/>
      <c r="E134" s="209"/>
      <c r="F134" s="209"/>
      <c r="G134" s="209"/>
      <c r="H134" s="209"/>
      <c r="I134" s="160"/>
      <c r="J134" s="160"/>
      <c r="K134" s="160"/>
      <c r="L134" s="160"/>
      <c r="M134" s="160"/>
      <c r="N134" s="160"/>
    </row>
    <row r="135" spans="1:14" ht="15.75" customHeight="1">
      <c r="A135" s="160"/>
      <c r="B135" s="209"/>
      <c r="C135" s="209"/>
      <c r="D135" s="209"/>
      <c r="E135" s="209"/>
      <c r="F135" s="209"/>
      <c r="G135" s="209"/>
      <c r="H135" s="209"/>
      <c r="I135" s="160"/>
      <c r="J135" s="160"/>
      <c r="K135" s="160"/>
      <c r="L135" s="160"/>
      <c r="M135" s="160"/>
      <c r="N135" s="160"/>
    </row>
    <row r="136" spans="1:14" ht="15.75" customHeight="1">
      <c r="A136" s="160"/>
      <c r="B136" s="209"/>
      <c r="C136" s="209"/>
      <c r="D136" s="209"/>
      <c r="E136" s="209"/>
      <c r="F136" s="209"/>
      <c r="G136" s="209"/>
      <c r="H136" s="209"/>
      <c r="I136" s="160"/>
      <c r="J136" s="160"/>
      <c r="K136" s="160"/>
      <c r="L136" s="160"/>
      <c r="M136" s="160"/>
      <c r="N136" s="160"/>
    </row>
    <row r="137" spans="1:14" ht="15.75" customHeight="1">
      <c r="A137" s="160"/>
      <c r="B137" s="209"/>
      <c r="C137" s="209"/>
      <c r="D137" s="209"/>
      <c r="E137" s="209"/>
      <c r="F137" s="209"/>
      <c r="G137" s="209"/>
      <c r="H137" s="209"/>
      <c r="I137" s="160"/>
      <c r="J137" s="160"/>
      <c r="K137" s="160"/>
      <c r="L137" s="160"/>
      <c r="M137" s="160"/>
      <c r="N137" s="160"/>
    </row>
    <row r="138" spans="1:14" ht="15.75" customHeight="1">
      <c r="A138" s="160"/>
      <c r="B138" s="209"/>
      <c r="C138" s="209"/>
      <c r="D138" s="209"/>
      <c r="E138" s="209"/>
      <c r="F138" s="209"/>
      <c r="G138" s="209"/>
      <c r="H138" s="209"/>
      <c r="I138" s="160"/>
      <c r="J138" s="160"/>
      <c r="K138" s="160"/>
      <c r="L138" s="160"/>
      <c r="M138" s="160"/>
      <c r="N138" s="160"/>
    </row>
    <row r="139" spans="1:14" ht="15.75" customHeight="1">
      <c r="A139" s="160"/>
      <c r="B139" s="209"/>
      <c r="C139" s="209"/>
      <c r="D139" s="209"/>
      <c r="E139" s="209"/>
      <c r="F139" s="209"/>
      <c r="G139" s="209"/>
      <c r="H139" s="209"/>
      <c r="I139" s="160"/>
      <c r="J139" s="160"/>
      <c r="K139" s="160"/>
      <c r="L139" s="160"/>
      <c r="M139" s="160"/>
      <c r="N139" s="160"/>
    </row>
    <row r="140" spans="1:14" ht="15.75" customHeight="1">
      <c r="A140" s="160"/>
      <c r="B140" s="209"/>
      <c r="C140" s="209"/>
      <c r="D140" s="209"/>
      <c r="E140" s="209"/>
      <c r="F140" s="209"/>
      <c r="G140" s="209"/>
      <c r="H140" s="209"/>
      <c r="I140" s="160"/>
      <c r="J140" s="160"/>
      <c r="K140" s="160"/>
      <c r="L140" s="160"/>
      <c r="M140" s="160"/>
      <c r="N140" s="160"/>
    </row>
    <row r="141" spans="1:14" ht="15.75" customHeight="1">
      <c r="A141" s="160"/>
      <c r="B141" s="209"/>
      <c r="C141" s="209"/>
      <c r="D141" s="209"/>
      <c r="E141" s="209"/>
      <c r="F141" s="209"/>
      <c r="G141" s="209"/>
      <c r="H141" s="209"/>
      <c r="I141" s="160"/>
      <c r="J141" s="160"/>
      <c r="K141" s="160"/>
      <c r="L141" s="160"/>
      <c r="M141" s="160"/>
      <c r="N141" s="160"/>
    </row>
    <row r="142" spans="1:14" ht="15.75" customHeight="1">
      <c r="A142" s="160"/>
      <c r="B142" s="209"/>
      <c r="C142" s="209"/>
      <c r="D142" s="209"/>
      <c r="E142" s="209"/>
      <c r="F142" s="209"/>
      <c r="G142" s="209"/>
      <c r="H142" s="209"/>
      <c r="I142" s="160"/>
      <c r="J142" s="160"/>
      <c r="K142" s="160"/>
      <c r="L142" s="160"/>
      <c r="M142" s="160"/>
      <c r="N142" s="160"/>
    </row>
    <row r="143" spans="1:14" ht="15.75" customHeight="1">
      <c r="A143" s="160"/>
      <c r="B143" s="209"/>
      <c r="C143" s="209"/>
      <c r="D143" s="209"/>
      <c r="E143" s="209"/>
      <c r="F143" s="209"/>
      <c r="G143" s="209"/>
      <c r="H143" s="209"/>
      <c r="I143" s="160"/>
      <c r="J143" s="160"/>
      <c r="K143" s="160"/>
      <c r="L143" s="160"/>
      <c r="M143" s="160"/>
      <c r="N143" s="160"/>
    </row>
    <row r="144" spans="1:14" ht="15.75" customHeight="1">
      <c r="A144" s="160"/>
      <c r="B144" s="209"/>
      <c r="C144" s="209"/>
      <c r="D144" s="209"/>
      <c r="E144" s="209"/>
      <c r="F144" s="209"/>
      <c r="G144" s="209"/>
      <c r="H144" s="209"/>
      <c r="I144" s="160"/>
      <c r="J144" s="160"/>
      <c r="K144" s="160"/>
      <c r="L144" s="160"/>
      <c r="M144" s="160"/>
      <c r="N144" s="160"/>
    </row>
    <row r="145" spans="1:14" ht="15.75" customHeight="1">
      <c r="A145" s="160"/>
      <c r="B145" s="209"/>
      <c r="C145" s="209"/>
      <c r="D145" s="209"/>
      <c r="E145" s="209"/>
      <c r="F145" s="209"/>
      <c r="G145" s="209"/>
      <c r="H145" s="209"/>
      <c r="I145" s="160"/>
      <c r="J145" s="160"/>
      <c r="K145" s="160"/>
      <c r="L145" s="160"/>
      <c r="M145" s="160"/>
      <c r="N145" s="160"/>
    </row>
    <row r="146" spans="1:14" ht="15.75" customHeight="1">
      <c r="A146" s="160"/>
      <c r="B146" s="209"/>
      <c r="C146" s="209"/>
      <c r="D146" s="209"/>
      <c r="E146" s="209"/>
      <c r="F146" s="209"/>
      <c r="G146" s="209"/>
      <c r="H146" s="209"/>
      <c r="I146" s="160"/>
      <c r="J146" s="160"/>
      <c r="K146" s="160"/>
      <c r="L146" s="160"/>
      <c r="M146" s="160"/>
      <c r="N146" s="160"/>
    </row>
    <row r="147" spans="1:14" ht="15.75" customHeight="1">
      <c r="A147" s="160"/>
      <c r="B147" s="209"/>
      <c r="C147" s="209"/>
      <c r="D147" s="209"/>
      <c r="E147" s="209"/>
      <c r="F147" s="209"/>
      <c r="G147" s="209"/>
      <c r="H147" s="209"/>
      <c r="I147" s="160"/>
      <c r="J147" s="160"/>
      <c r="K147" s="160"/>
      <c r="L147" s="160"/>
      <c r="M147" s="160"/>
      <c r="N147" s="160"/>
    </row>
    <row r="148" spans="1:14" ht="15.75" customHeight="1">
      <c r="A148" s="160"/>
      <c r="B148" s="209"/>
      <c r="C148" s="209"/>
      <c r="D148" s="209"/>
      <c r="E148" s="209"/>
      <c r="F148" s="209"/>
      <c r="G148" s="209"/>
      <c r="H148" s="209"/>
      <c r="I148" s="160"/>
      <c r="J148" s="160"/>
      <c r="K148" s="160"/>
      <c r="L148" s="160"/>
      <c r="M148" s="160"/>
      <c r="N148" s="160"/>
    </row>
    <row r="149" spans="1:14" ht="15.75" customHeight="1">
      <c r="A149" s="160"/>
      <c r="B149" s="209"/>
      <c r="C149" s="209"/>
      <c r="D149" s="209"/>
      <c r="E149" s="209"/>
      <c r="F149" s="209"/>
      <c r="G149" s="209"/>
      <c r="H149" s="209"/>
      <c r="I149" s="160"/>
      <c r="J149" s="160"/>
      <c r="K149" s="160"/>
      <c r="L149" s="160"/>
      <c r="M149" s="160"/>
      <c r="N149" s="160"/>
    </row>
    <row r="150" spans="1:14" ht="15.75" customHeight="1">
      <c r="A150" s="160"/>
      <c r="B150" s="209"/>
      <c r="C150" s="209"/>
      <c r="D150" s="209"/>
      <c r="E150" s="209"/>
      <c r="F150" s="209"/>
      <c r="G150" s="209"/>
      <c r="H150" s="209"/>
      <c r="I150" s="160"/>
      <c r="J150" s="160"/>
      <c r="K150" s="160"/>
      <c r="L150" s="160"/>
      <c r="M150" s="160"/>
      <c r="N150" s="160"/>
    </row>
    <row r="151" spans="1:14" ht="15.75" customHeight="1">
      <c r="A151" s="160"/>
      <c r="B151" s="209"/>
      <c r="C151" s="209"/>
      <c r="D151" s="209"/>
      <c r="E151" s="209"/>
      <c r="F151" s="209"/>
      <c r="G151" s="209"/>
      <c r="H151" s="209"/>
      <c r="I151" s="160"/>
      <c r="J151" s="160"/>
      <c r="K151" s="160"/>
      <c r="L151" s="160"/>
      <c r="M151" s="160"/>
      <c r="N151" s="160"/>
    </row>
    <row r="152" spans="1:14" ht="15.75" customHeight="1">
      <c r="A152" s="160"/>
      <c r="B152" s="209"/>
      <c r="C152" s="209"/>
      <c r="D152" s="209"/>
      <c r="E152" s="209"/>
      <c r="F152" s="209"/>
      <c r="G152" s="209"/>
      <c r="H152" s="209"/>
      <c r="I152" s="160"/>
      <c r="J152" s="160"/>
      <c r="K152" s="160"/>
      <c r="L152" s="160"/>
      <c r="M152" s="160"/>
      <c r="N152" s="160"/>
    </row>
    <row r="153" spans="1:14" ht="15.75" customHeight="1">
      <c r="A153" s="160"/>
      <c r="B153" s="209"/>
      <c r="C153" s="209"/>
      <c r="D153" s="209"/>
      <c r="E153" s="209"/>
      <c r="F153" s="209"/>
      <c r="G153" s="209"/>
      <c r="H153" s="209"/>
      <c r="I153" s="160"/>
      <c r="J153" s="160"/>
      <c r="K153" s="160"/>
      <c r="L153" s="160"/>
      <c r="M153" s="160"/>
      <c r="N153" s="160"/>
    </row>
    <row r="154" spans="1:14" ht="15.75" customHeight="1">
      <c r="A154" s="160"/>
      <c r="B154" s="209"/>
      <c r="C154" s="209"/>
      <c r="D154" s="209"/>
      <c r="E154" s="209"/>
      <c r="F154" s="209"/>
      <c r="G154" s="209"/>
      <c r="H154" s="209"/>
      <c r="I154" s="160"/>
      <c r="J154" s="160"/>
      <c r="K154" s="160"/>
      <c r="L154" s="160"/>
      <c r="M154" s="160"/>
      <c r="N154" s="160"/>
    </row>
    <row r="155" spans="1:14" ht="15.75" customHeight="1">
      <c r="A155" s="160"/>
      <c r="B155" s="209"/>
      <c r="C155" s="209"/>
      <c r="D155" s="209"/>
      <c r="E155" s="209"/>
      <c r="F155" s="209"/>
      <c r="G155" s="209"/>
      <c r="H155" s="209"/>
      <c r="I155" s="160"/>
      <c r="J155" s="160"/>
      <c r="K155" s="160"/>
      <c r="L155" s="160"/>
      <c r="M155" s="160"/>
      <c r="N155" s="160"/>
    </row>
    <row r="156" spans="1:14" ht="15.75" customHeight="1">
      <c r="A156" s="160"/>
      <c r="B156" s="209"/>
      <c r="C156" s="209"/>
      <c r="D156" s="209"/>
      <c r="E156" s="209"/>
      <c r="F156" s="209"/>
      <c r="G156" s="209"/>
      <c r="H156" s="209"/>
      <c r="I156" s="160"/>
      <c r="J156" s="160"/>
      <c r="K156" s="160"/>
      <c r="L156" s="160"/>
      <c r="M156" s="160"/>
      <c r="N156" s="160"/>
    </row>
    <row r="157" spans="1:14" ht="15.75" customHeight="1">
      <c r="A157" s="160"/>
      <c r="B157" s="209"/>
      <c r="C157" s="209"/>
      <c r="D157" s="209"/>
      <c r="E157" s="209"/>
      <c r="F157" s="209"/>
      <c r="G157" s="209"/>
      <c r="H157" s="209"/>
      <c r="I157" s="160"/>
      <c r="J157" s="160"/>
      <c r="K157" s="160"/>
      <c r="L157" s="160"/>
      <c r="M157" s="160"/>
      <c r="N157" s="160"/>
    </row>
    <row r="158" spans="1:14" ht="15.75" customHeight="1">
      <c r="A158" s="160"/>
      <c r="B158" s="209"/>
      <c r="C158" s="209"/>
      <c r="D158" s="209"/>
      <c r="E158" s="209"/>
      <c r="F158" s="209"/>
      <c r="G158" s="209"/>
      <c r="H158" s="209"/>
      <c r="I158" s="160"/>
      <c r="J158" s="160"/>
      <c r="K158" s="160"/>
      <c r="L158" s="160"/>
      <c r="M158" s="160"/>
      <c r="N158" s="160"/>
    </row>
    <row r="159" spans="1:14" ht="15.75" customHeight="1">
      <c r="A159" s="160"/>
      <c r="B159" s="209"/>
      <c r="C159" s="209"/>
      <c r="D159" s="209"/>
      <c r="E159" s="209"/>
      <c r="F159" s="209"/>
      <c r="G159" s="209"/>
      <c r="H159" s="209"/>
      <c r="I159" s="160"/>
      <c r="J159" s="160"/>
      <c r="K159" s="160"/>
      <c r="L159" s="160"/>
      <c r="M159" s="160"/>
      <c r="N159" s="160"/>
    </row>
    <row r="160" spans="1:14" ht="15.75" customHeight="1">
      <c r="A160" s="160"/>
      <c r="B160" s="209"/>
      <c r="C160" s="209"/>
      <c r="D160" s="209"/>
      <c r="E160" s="209"/>
      <c r="F160" s="209"/>
      <c r="G160" s="209"/>
      <c r="H160" s="209"/>
      <c r="I160" s="160"/>
      <c r="J160" s="160"/>
      <c r="K160" s="160"/>
      <c r="L160" s="160"/>
      <c r="M160" s="160"/>
      <c r="N160" s="160"/>
    </row>
    <row r="161" spans="1:14" ht="15.75" customHeight="1">
      <c r="A161" s="160"/>
      <c r="B161" s="209"/>
      <c r="C161" s="209"/>
      <c r="D161" s="209"/>
      <c r="E161" s="209"/>
      <c r="F161" s="209"/>
      <c r="G161" s="209"/>
      <c r="H161" s="209"/>
      <c r="I161" s="160"/>
      <c r="J161" s="160"/>
      <c r="K161" s="160"/>
      <c r="L161" s="160"/>
      <c r="M161" s="160"/>
      <c r="N161" s="160"/>
    </row>
    <row r="162" spans="1:14" ht="15.75" customHeight="1">
      <c r="A162" s="160"/>
      <c r="B162" s="209"/>
      <c r="C162" s="209"/>
      <c r="D162" s="209"/>
      <c r="E162" s="209"/>
      <c r="F162" s="209"/>
      <c r="G162" s="209"/>
      <c r="H162" s="209"/>
      <c r="I162" s="160"/>
      <c r="J162" s="160"/>
      <c r="K162" s="160"/>
      <c r="L162" s="160"/>
      <c r="M162" s="160"/>
      <c r="N162" s="160"/>
    </row>
    <row r="163" spans="1:14" ht="15.75" customHeight="1">
      <c r="A163" s="160"/>
      <c r="B163" s="209"/>
      <c r="C163" s="209"/>
      <c r="D163" s="209"/>
      <c r="E163" s="209"/>
      <c r="F163" s="209"/>
      <c r="G163" s="209"/>
      <c r="H163" s="209"/>
      <c r="I163" s="160"/>
      <c r="J163" s="160"/>
      <c r="K163" s="160"/>
      <c r="L163" s="160"/>
      <c r="M163" s="160"/>
      <c r="N163" s="160"/>
    </row>
    <row r="164" spans="1:14" ht="15.75" customHeight="1">
      <c r="A164" s="160"/>
      <c r="B164" s="209"/>
      <c r="C164" s="209"/>
      <c r="D164" s="209"/>
      <c r="E164" s="209"/>
      <c r="F164" s="209"/>
      <c r="G164" s="209"/>
      <c r="H164" s="209"/>
      <c r="I164" s="160"/>
      <c r="J164" s="160"/>
      <c r="K164" s="160"/>
      <c r="L164" s="160"/>
      <c r="M164" s="160"/>
      <c r="N164" s="160"/>
    </row>
    <row r="165" spans="1:14" ht="15.75" customHeight="1">
      <c r="A165" s="160"/>
      <c r="B165" s="209"/>
      <c r="C165" s="209"/>
      <c r="D165" s="209"/>
      <c r="E165" s="209"/>
      <c r="F165" s="209"/>
      <c r="G165" s="209"/>
      <c r="H165" s="209"/>
      <c r="I165" s="160"/>
      <c r="J165" s="160"/>
      <c r="K165" s="160"/>
      <c r="L165" s="160"/>
      <c r="M165" s="160"/>
      <c r="N165" s="160"/>
    </row>
    <row r="166" spans="1:14" ht="15.75" customHeight="1">
      <c r="A166" s="160"/>
      <c r="B166" s="209"/>
      <c r="C166" s="209"/>
      <c r="D166" s="209"/>
      <c r="E166" s="209"/>
      <c r="F166" s="209"/>
      <c r="G166" s="209"/>
      <c r="H166" s="209"/>
      <c r="I166" s="160"/>
      <c r="J166" s="160"/>
      <c r="K166" s="160"/>
      <c r="L166" s="160"/>
      <c r="M166" s="160"/>
      <c r="N166" s="160"/>
    </row>
    <row r="167" spans="1:14" ht="15.75" customHeight="1">
      <c r="A167" s="160"/>
      <c r="B167" s="209"/>
      <c r="C167" s="209"/>
      <c r="D167" s="209"/>
      <c r="E167" s="209"/>
      <c r="F167" s="209"/>
      <c r="G167" s="209"/>
      <c r="H167" s="209"/>
      <c r="I167" s="160"/>
      <c r="J167" s="160"/>
      <c r="K167" s="160"/>
      <c r="L167" s="160"/>
      <c r="M167" s="160"/>
      <c r="N167" s="160"/>
    </row>
    <row r="168" spans="1:14" ht="15.75" customHeight="1">
      <c r="A168" s="160"/>
      <c r="B168" s="209"/>
      <c r="C168" s="209"/>
      <c r="D168" s="209"/>
      <c r="E168" s="209"/>
      <c r="F168" s="209"/>
      <c r="G168" s="209"/>
      <c r="H168" s="209"/>
      <c r="I168" s="160"/>
      <c r="J168" s="160"/>
      <c r="K168" s="160"/>
      <c r="L168" s="160"/>
      <c r="M168" s="160"/>
      <c r="N168" s="160"/>
    </row>
    <row r="169" spans="1:14" ht="15.75" customHeight="1">
      <c r="A169" s="160"/>
      <c r="B169" s="209"/>
      <c r="C169" s="209"/>
      <c r="D169" s="209"/>
      <c r="E169" s="209"/>
      <c r="F169" s="209"/>
      <c r="G169" s="209"/>
      <c r="H169" s="209"/>
      <c r="I169" s="160"/>
      <c r="J169" s="160"/>
      <c r="K169" s="160"/>
      <c r="L169" s="160"/>
      <c r="M169" s="160"/>
      <c r="N169" s="160"/>
    </row>
    <row r="170" spans="1:14" ht="15.75" customHeight="1">
      <c r="A170" s="160"/>
      <c r="B170" s="209"/>
      <c r="C170" s="209"/>
      <c r="D170" s="209"/>
      <c r="E170" s="209"/>
      <c r="F170" s="209"/>
      <c r="G170" s="209"/>
      <c r="H170" s="209"/>
      <c r="I170" s="160"/>
      <c r="J170" s="160"/>
      <c r="K170" s="160"/>
      <c r="L170" s="160"/>
      <c r="M170" s="160"/>
      <c r="N170" s="160"/>
    </row>
    <row r="171" spans="1:14" ht="15.75" customHeight="1">
      <c r="A171" s="160"/>
      <c r="B171" s="209"/>
      <c r="C171" s="209"/>
      <c r="D171" s="209"/>
      <c r="E171" s="209"/>
      <c r="F171" s="209"/>
      <c r="G171" s="209"/>
      <c r="H171" s="209"/>
      <c r="I171" s="160"/>
      <c r="J171" s="160"/>
      <c r="K171" s="160"/>
      <c r="L171" s="160"/>
      <c r="M171" s="160"/>
      <c r="N171" s="160"/>
    </row>
    <row r="172" spans="1:14" ht="15.75" customHeight="1">
      <c r="A172" s="160"/>
      <c r="B172" s="209"/>
      <c r="C172" s="209"/>
      <c r="D172" s="209"/>
      <c r="E172" s="209"/>
      <c r="F172" s="209"/>
      <c r="G172" s="209"/>
      <c r="H172" s="209"/>
      <c r="I172" s="160"/>
      <c r="J172" s="160"/>
      <c r="K172" s="160"/>
      <c r="L172" s="160"/>
      <c r="M172" s="160"/>
      <c r="N172" s="160"/>
    </row>
    <row r="173" spans="1:14" ht="15.75" customHeight="1">
      <c r="A173" s="160"/>
      <c r="B173" s="209"/>
      <c r="C173" s="209"/>
      <c r="D173" s="209"/>
      <c r="E173" s="209"/>
      <c r="F173" s="209"/>
      <c r="G173" s="209"/>
      <c r="H173" s="209"/>
      <c r="I173" s="160"/>
      <c r="J173" s="160"/>
      <c r="K173" s="160"/>
      <c r="L173" s="160"/>
      <c r="M173" s="160"/>
      <c r="N173" s="160"/>
    </row>
    <row r="174" spans="1:14" ht="15.75" customHeight="1">
      <c r="A174" s="160"/>
      <c r="B174" s="209"/>
      <c r="C174" s="209"/>
      <c r="D174" s="209"/>
      <c r="E174" s="209"/>
      <c r="F174" s="209"/>
      <c r="G174" s="209"/>
      <c r="H174" s="209"/>
      <c r="I174" s="160"/>
      <c r="J174" s="160"/>
      <c r="K174" s="160"/>
      <c r="L174" s="160"/>
      <c r="M174" s="160"/>
      <c r="N174" s="160"/>
    </row>
    <row r="175" spans="1:14" ht="15.75" customHeight="1">
      <c r="A175" s="160"/>
      <c r="B175" s="209"/>
      <c r="C175" s="209"/>
      <c r="D175" s="209"/>
      <c r="E175" s="209"/>
      <c r="F175" s="209"/>
      <c r="G175" s="209"/>
      <c r="H175" s="209"/>
      <c r="I175" s="160"/>
      <c r="J175" s="160"/>
      <c r="K175" s="160"/>
      <c r="L175" s="160"/>
      <c r="M175" s="160"/>
      <c r="N175" s="160"/>
    </row>
    <row r="176" spans="1:14" ht="15.75" customHeight="1">
      <c r="A176" s="160"/>
      <c r="B176" s="209"/>
      <c r="C176" s="209"/>
      <c r="D176" s="209"/>
      <c r="E176" s="209"/>
      <c r="F176" s="209"/>
      <c r="G176" s="209"/>
      <c r="H176" s="209"/>
      <c r="I176" s="160"/>
      <c r="J176" s="160"/>
      <c r="K176" s="160"/>
      <c r="L176" s="160"/>
      <c r="M176" s="160"/>
      <c r="N176" s="160"/>
    </row>
    <row r="177" spans="1:14" ht="15.75" customHeight="1">
      <c r="A177" s="160"/>
      <c r="B177" s="209"/>
      <c r="C177" s="209"/>
      <c r="D177" s="209"/>
      <c r="E177" s="209"/>
      <c r="F177" s="209"/>
      <c r="G177" s="209"/>
      <c r="H177" s="209"/>
      <c r="I177" s="160"/>
      <c r="J177" s="160"/>
      <c r="K177" s="160"/>
      <c r="L177" s="160"/>
      <c r="M177" s="160"/>
      <c r="N177" s="160"/>
    </row>
    <row r="178" spans="1:14" ht="15.75" customHeight="1">
      <c r="A178" s="160"/>
      <c r="B178" s="209"/>
      <c r="C178" s="209"/>
      <c r="D178" s="209"/>
      <c r="E178" s="209"/>
      <c r="F178" s="209"/>
      <c r="G178" s="209"/>
      <c r="H178" s="209"/>
      <c r="I178" s="160"/>
      <c r="J178" s="160"/>
      <c r="K178" s="160"/>
      <c r="L178" s="160"/>
      <c r="M178" s="160"/>
      <c r="N178" s="160"/>
    </row>
    <row r="179" spans="1:14" ht="15.75" customHeight="1">
      <c r="A179" s="160"/>
      <c r="B179" s="209"/>
      <c r="C179" s="209"/>
      <c r="D179" s="209"/>
      <c r="E179" s="209"/>
      <c r="F179" s="209"/>
      <c r="G179" s="209"/>
      <c r="H179" s="209"/>
      <c r="I179" s="160"/>
      <c r="J179" s="160"/>
      <c r="K179" s="160"/>
      <c r="L179" s="160"/>
      <c r="M179" s="160"/>
      <c r="N179" s="160"/>
    </row>
    <row r="180" spans="1:14" ht="15.75" customHeight="1">
      <c r="A180" s="160"/>
      <c r="B180" s="209"/>
      <c r="C180" s="209"/>
      <c r="D180" s="209"/>
      <c r="E180" s="209"/>
      <c r="F180" s="209"/>
      <c r="G180" s="209"/>
      <c r="H180" s="209"/>
      <c r="I180" s="160"/>
      <c r="J180" s="160"/>
      <c r="K180" s="160"/>
      <c r="L180" s="160"/>
      <c r="M180" s="160"/>
      <c r="N180" s="160"/>
    </row>
    <row r="181" spans="1:14" ht="15.75" customHeight="1">
      <c r="A181" s="160"/>
      <c r="B181" s="209"/>
      <c r="C181" s="209"/>
      <c r="D181" s="209"/>
      <c r="E181" s="209"/>
      <c r="F181" s="209"/>
      <c r="G181" s="209"/>
      <c r="H181" s="209"/>
      <c r="I181" s="160"/>
      <c r="J181" s="160"/>
      <c r="K181" s="160"/>
      <c r="L181" s="160"/>
      <c r="M181" s="160"/>
      <c r="N181" s="160"/>
    </row>
    <row r="182" spans="1:14" ht="15.75" customHeight="1">
      <c r="A182" s="160"/>
      <c r="B182" s="209"/>
      <c r="C182" s="209"/>
      <c r="D182" s="209"/>
      <c r="E182" s="209"/>
      <c r="F182" s="209"/>
      <c r="G182" s="209"/>
      <c r="H182" s="209"/>
      <c r="I182" s="160"/>
      <c r="J182" s="160"/>
      <c r="K182" s="160"/>
      <c r="L182" s="160"/>
      <c r="M182" s="160"/>
      <c r="N182" s="160"/>
    </row>
    <row r="183" spans="1:14" ht="15.75" customHeight="1">
      <c r="A183" s="160"/>
      <c r="B183" s="209"/>
      <c r="C183" s="209"/>
      <c r="D183" s="209"/>
      <c r="E183" s="209"/>
      <c r="F183" s="209"/>
      <c r="G183" s="209"/>
      <c r="H183" s="209"/>
      <c r="I183" s="160"/>
      <c r="J183" s="160"/>
      <c r="K183" s="160"/>
      <c r="L183" s="160"/>
      <c r="M183" s="160"/>
      <c r="N183" s="160"/>
    </row>
    <row r="184" spans="1:14" ht="15.75" customHeight="1">
      <c r="A184" s="160"/>
      <c r="B184" s="209"/>
      <c r="C184" s="209"/>
      <c r="D184" s="209"/>
      <c r="E184" s="209"/>
      <c r="F184" s="209"/>
      <c r="G184" s="209"/>
      <c r="H184" s="209"/>
      <c r="I184" s="160"/>
      <c r="J184" s="160"/>
      <c r="K184" s="160"/>
      <c r="L184" s="160"/>
      <c r="M184" s="160"/>
      <c r="N184" s="160"/>
    </row>
    <row r="185" spans="1:14" ht="15.75" customHeight="1">
      <c r="A185" s="160"/>
      <c r="B185" s="209"/>
      <c r="C185" s="209"/>
      <c r="D185" s="209"/>
      <c r="E185" s="209"/>
      <c r="F185" s="209"/>
      <c r="G185" s="209"/>
      <c r="H185" s="209"/>
      <c r="I185" s="160"/>
      <c r="J185" s="160"/>
      <c r="K185" s="160"/>
      <c r="L185" s="160"/>
      <c r="M185" s="160"/>
      <c r="N185" s="160"/>
    </row>
    <row r="186" spans="1:14" ht="15.75" customHeight="1">
      <c r="A186" s="160"/>
      <c r="B186" s="209"/>
      <c r="C186" s="209"/>
      <c r="D186" s="209"/>
      <c r="E186" s="209"/>
      <c r="F186" s="209"/>
      <c r="G186" s="209"/>
      <c r="H186" s="209"/>
      <c r="I186" s="160"/>
      <c r="J186" s="160"/>
      <c r="K186" s="160"/>
      <c r="L186" s="160"/>
      <c r="M186" s="160"/>
      <c r="N186" s="160"/>
    </row>
    <row r="187" spans="1:14" ht="15.75" customHeight="1">
      <c r="A187" s="160"/>
      <c r="B187" s="209"/>
      <c r="C187" s="209"/>
      <c r="D187" s="209"/>
      <c r="E187" s="209"/>
      <c r="F187" s="209"/>
      <c r="G187" s="209"/>
      <c r="H187" s="209"/>
      <c r="I187" s="160"/>
      <c r="J187" s="160"/>
      <c r="K187" s="160"/>
      <c r="L187" s="160"/>
      <c r="M187" s="160"/>
      <c r="N187" s="160"/>
    </row>
    <row r="188" spans="1:14" ht="15.75" customHeight="1">
      <c r="A188" s="160"/>
      <c r="B188" s="209"/>
      <c r="C188" s="209"/>
      <c r="D188" s="209"/>
      <c r="E188" s="209"/>
      <c r="F188" s="209"/>
      <c r="G188" s="209"/>
      <c r="H188" s="209"/>
      <c r="I188" s="160"/>
      <c r="J188" s="160"/>
      <c r="K188" s="160"/>
      <c r="L188" s="160"/>
      <c r="M188" s="160"/>
      <c r="N188" s="160"/>
    </row>
    <row r="189" spans="1:14" ht="15.75" customHeight="1">
      <c r="A189" s="160"/>
      <c r="B189" s="209"/>
      <c r="C189" s="209"/>
      <c r="D189" s="209"/>
      <c r="E189" s="209"/>
      <c r="F189" s="209"/>
      <c r="G189" s="209"/>
      <c r="H189" s="209"/>
      <c r="I189" s="160"/>
      <c r="J189" s="160"/>
      <c r="K189" s="160"/>
      <c r="L189" s="160"/>
      <c r="M189" s="160"/>
      <c r="N189" s="160"/>
    </row>
    <row r="190" spans="1:14" ht="15.75" customHeight="1">
      <c r="A190" s="160"/>
      <c r="B190" s="209"/>
      <c r="C190" s="209"/>
      <c r="D190" s="209"/>
      <c r="E190" s="209"/>
      <c r="F190" s="209"/>
      <c r="G190" s="209"/>
      <c r="H190" s="209"/>
      <c r="I190" s="160"/>
      <c r="J190" s="160"/>
      <c r="K190" s="160"/>
      <c r="L190" s="160"/>
      <c r="M190" s="160"/>
      <c r="N190" s="160"/>
    </row>
    <row r="191" spans="1:14" ht="15.75" customHeight="1">
      <c r="A191" s="160"/>
      <c r="B191" s="209"/>
      <c r="C191" s="209"/>
      <c r="D191" s="209"/>
      <c r="E191" s="209"/>
      <c r="F191" s="209"/>
      <c r="G191" s="209"/>
      <c r="H191" s="209"/>
      <c r="I191" s="160"/>
      <c r="J191" s="160"/>
      <c r="K191" s="160"/>
      <c r="L191" s="160"/>
      <c r="M191" s="160"/>
      <c r="N191" s="160"/>
    </row>
    <row r="192" spans="1:14" ht="15.75" customHeight="1">
      <c r="A192" s="160"/>
      <c r="B192" s="209"/>
      <c r="C192" s="209"/>
      <c r="D192" s="209"/>
      <c r="E192" s="209"/>
      <c r="F192" s="209"/>
      <c r="G192" s="209"/>
      <c r="H192" s="209"/>
      <c r="I192" s="160"/>
      <c r="J192" s="160"/>
      <c r="K192" s="160"/>
      <c r="L192" s="160"/>
      <c r="M192" s="160"/>
      <c r="N192" s="160"/>
    </row>
    <row r="193" spans="1:14" ht="15.75" customHeight="1">
      <c r="A193" s="160"/>
      <c r="B193" s="209"/>
      <c r="C193" s="209"/>
      <c r="D193" s="209"/>
      <c r="E193" s="209"/>
      <c r="F193" s="209"/>
      <c r="G193" s="209"/>
      <c r="H193" s="209"/>
      <c r="I193" s="160"/>
      <c r="J193" s="160"/>
      <c r="K193" s="160"/>
      <c r="L193" s="160"/>
      <c r="M193" s="160"/>
      <c r="N193" s="160"/>
    </row>
    <row r="194" spans="1:14" ht="15.75" customHeight="1">
      <c r="A194" s="160"/>
      <c r="B194" s="209"/>
      <c r="C194" s="209"/>
      <c r="D194" s="209"/>
      <c r="E194" s="209"/>
      <c r="F194" s="209"/>
      <c r="G194" s="209"/>
      <c r="H194" s="209"/>
      <c r="I194" s="160"/>
      <c r="J194" s="160"/>
      <c r="K194" s="160"/>
      <c r="L194" s="160"/>
      <c r="M194" s="160"/>
      <c r="N194" s="160"/>
    </row>
    <row r="195" spans="1:14" ht="15.75" customHeight="1">
      <c r="A195" s="160"/>
      <c r="B195" s="209"/>
      <c r="C195" s="209"/>
      <c r="D195" s="209"/>
      <c r="E195" s="209"/>
      <c r="F195" s="209"/>
      <c r="G195" s="209"/>
      <c r="H195" s="209"/>
      <c r="I195" s="160"/>
      <c r="J195" s="160"/>
      <c r="K195" s="160"/>
      <c r="L195" s="160"/>
      <c r="M195" s="160"/>
      <c r="N195" s="160"/>
    </row>
    <row r="196" spans="1:14" ht="15.75" customHeight="1">
      <c r="A196" s="160"/>
      <c r="B196" s="209"/>
      <c r="C196" s="209"/>
      <c r="D196" s="209"/>
      <c r="E196" s="209"/>
      <c r="F196" s="209"/>
      <c r="G196" s="209"/>
      <c r="H196" s="209"/>
      <c r="I196" s="160"/>
      <c r="J196" s="160"/>
      <c r="K196" s="160"/>
      <c r="L196" s="160"/>
      <c r="M196" s="160"/>
      <c r="N196" s="160"/>
    </row>
    <row r="197" spans="1:14" ht="15.75" customHeight="1">
      <c r="A197" s="160"/>
      <c r="B197" s="209"/>
      <c r="C197" s="209"/>
      <c r="D197" s="209"/>
      <c r="E197" s="209"/>
      <c r="F197" s="209"/>
      <c r="G197" s="209"/>
      <c r="H197" s="209"/>
      <c r="I197" s="160"/>
      <c r="J197" s="160"/>
      <c r="K197" s="160"/>
      <c r="L197" s="160"/>
      <c r="M197" s="160"/>
      <c r="N197" s="160"/>
    </row>
    <row r="198" spans="1:14" ht="15.75" customHeight="1">
      <c r="A198" s="160"/>
      <c r="B198" s="209"/>
      <c r="C198" s="209"/>
      <c r="D198" s="209"/>
      <c r="E198" s="209"/>
      <c r="F198" s="209"/>
      <c r="G198" s="209"/>
      <c r="H198" s="209"/>
      <c r="I198" s="160"/>
      <c r="J198" s="160"/>
      <c r="K198" s="160"/>
      <c r="L198" s="160"/>
      <c r="M198" s="160"/>
      <c r="N198" s="160"/>
    </row>
    <row r="199" spans="1:14" ht="15.75" customHeight="1">
      <c r="A199" s="160"/>
      <c r="B199" s="209"/>
      <c r="C199" s="209"/>
      <c r="D199" s="209"/>
      <c r="E199" s="209"/>
      <c r="F199" s="209"/>
      <c r="G199" s="209"/>
      <c r="H199" s="209"/>
      <c r="I199" s="160"/>
      <c r="J199" s="160"/>
      <c r="K199" s="160"/>
      <c r="L199" s="160"/>
      <c r="M199" s="160"/>
      <c r="N199" s="160"/>
    </row>
    <row r="200" spans="1:14" ht="15.75" customHeight="1">
      <c r="A200" s="160"/>
      <c r="B200" s="209"/>
      <c r="C200" s="209"/>
      <c r="D200" s="209"/>
      <c r="E200" s="209"/>
      <c r="F200" s="209"/>
      <c r="G200" s="209"/>
      <c r="H200" s="209"/>
      <c r="I200" s="160"/>
      <c r="J200" s="160"/>
      <c r="K200" s="160"/>
      <c r="L200" s="160"/>
      <c r="M200" s="160"/>
      <c r="N200" s="160"/>
    </row>
    <row r="201" spans="1:14" ht="15.75" customHeight="1">
      <c r="A201" s="160"/>
      <c r="B201" s="209"/>
      <c r="C201" s="209"/>
      <c r="D201" s="209"/>
      <c r="E201" s="209"/>
      <c r="F201" s="209"/>
      <c r="G201" s="209"/>
      <c r="H201" s="209"/>
      <c r="I201" s="160"/>
      <c r="J201" s="160"/>
      <c r="K201" s="160"/>
      <c r="L201" s="160"/>
      <c r="M201" s="160"/>
      <c r="N201" s="160"/>
    </row>
    <row r="202" spans="1:14" ht="15.75" customHeight="1">
      <c r="A202" s="160"/>
      <c r="B202" s="209"/>
      <c r="C202" s="209"/>
      <c r="D202" s="209"/>
      <c r="E202" s="209"/>
      <c r="F202" s="209"/>
      <c r="G202" s="209"/>
      <c r="H202" s="209"/>
      <c r="I202" s="160"/>
      <c r="J202" s="160"/>
      <c r="K202" s="160"/>
      <c r="L202" s="160"/>
      <c r="M202" s="160"/>
      <c r="N202" s="160"/>
    </row>
    <row r="203" spans="1:14" ht="15.75" customHeight="1">
      <c r="A203" s="160"/>
      <c r="B203" s="209"/>
      <c r="C203" s="209"/>
      <c r="D203" s="209"/>
      <c r="E203" s="209"/>
      <c r="F203" s="209"/>
      <c r="G203" s="209"/>
      <c r="H203" s="209"/>
      <c r="I203" s="160"/>
      <c r="J203" s="160"/>
      <c r="K203" s="160"/>
      <c r="L203" s="160"/>
      <c r="M203" s="160"/>
      <c r="N203" s="160"/>
    </row>
    <row r="204" spans="1:14" ht="15.75" customHeight="1">
      <c r="A204" s="160"/>
      <c r="B204" s="209"/>
      <c r="C204" s="209"/>
      <c r="D204" s="209"/>
      <c r="E204" s="209"/>
      <c r="F204" s="209"/>
      <c r="G204" s="209"/>
      <c r="H204" s="209"/>
      <c r="I204" s="160"/>
      <c r="J204" s="160"/>
      <c r="K204" s="160"/>
      <c r="L204" s="160"/>
      <c r="M204" s="160"/>
      <c r="N204" s="160"/>
    </row>
    <row r="205" spans="1:14" ht="15.75" customHeight="1"/>
    <row r="206" spans="1:14" ht="15.75" customHeight="1"/>
    <row r="207" spans="1:14" ht="15.75" customHeight="1"/>
    <row r="208" spans="1:14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2">
    <mergeCell ref="B1:U6"/>
    <mergeCell ref="U9:Z9"/>
  </mergeCells>
  <printOptions horizontalCentered="1"/>
  <pageMargins left="0.23622047244094491" right="0.15748031496062992" top="0.35433070866141736" bottom="0.23622047244094491" header="0" footer="0"/>
  <pageSetup paperSize="9" scale="4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3399"/>
    <pageSetUpPr fitToPage="1"/>
  </sheetPr>
  <dimension ref="A1:S965"/>
  <sheetViews>
    <sheetView workbookViewId="0">
      <selection activeCell="F6" sqref="F6"/>
    </sheetView>
  </sheetViews>
  <sheetFormatPr defaultColWidth="14.42578125" defaultRowHeight="15" customHeight="1"/>
  <cols>
    <col min="1" max="1" width="29" customWidth="1"/>
    <col min="2" max="3" width="7.5703125" customWidth="1"/>
    <col min="4" max="6" width="9.28515625" customWidth="1"/>
    <col min="7" max="7" width="11.42578125" customWidth="1"/>
    <col min="8" max="8" width="14" customWidth="1"/>
    <col min="9" max="9" width="12.28515625" customWidth="1"/>
    <col min="10" max="10" width="3.42578125" customWidth="1"/>
    <col min="11" max="19" width="9.28515625" customWidth="1"/>
  </cols>
  <sheetData>
    <row r="1" spans="1:19" ht="15.75" thickBot="1">
      <c r="A1" s="3"/>
      <c r="B1" s="3"/>
      <c r="C1" s="3"/>
      <c r="D1" s="3"/>
      <c r="E1" s="3"/>
      <c r="F1" s="3"/>
      <c r="G1" s="3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467" t="s">
        <v>127</v>
      </c>
      <c r="B2" s="468"/>
      <c r="C2" s="468"/>
      <c r="D2" s="468"/>
      <c r="E2" s="468"/>
      <c r="F2" s="468"/>
      <c r="G2" s="468"/>
      <c r="H2" s="468"/>
      <c r="I2" s="469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>
      <c r="A3" s="470"/>
      <c r="B3" s="471"/>
      <c r="C3" s="471"/>
      <c r="D3" s="471"/>
      <c r="E3" s="471"/>
      <c r="F3" s="471"/>
      <c r="G3" s="471"/>
      <c r="H3" s="471"/>
      <c r="I3" s="472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25.5" customHeight="1" thickBot="1">
      <c r="A4" s="473"/>
      <c r="B4" s="474"/>
      <c r="C4" s="474"/>
      <c r="D4" s="474"/>
      <c r="E4" s="474"/>
      <c r="F4" s="474"/>
      <c r="G4" s="474"/>
      <c r="H4" s="474"/>
      <c r="I4" s="475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20.25" customHeight="1" thickBot="1">
      <c r="A5" s="223"/>
      <c r="B5" s="212"/>
      <c r="C5" s="212"/>
      <c r="D5" s="476" t="s">
        <v>70</v>
      </c>
      <c r="E5" s="476"/>
      <c r="F5" s="476"/>
      <c r="G5" s="476"/>
      <c r="H5" s="476"/>
      <c r="I5" s="476"/>
      <c r="J5" s="224"/>
      <c r="K5" s="224"/>
      <c r="L5" s="224"/>
      <c r="M5" s="224"/>
      <c r="N5" s="224"/>
      <c r="O5" s="224"/>
      <c r="P5" s="224"/>
      <c r="Q5" s="224"/>
      <c r="R5" s="224"/>
      <c r="S5" s="224"/>
    </row>
    <row r="6" spans="1:19" ht="47.25">
      <c r="A6" s="225" t="s">
        <v>2</v>
      </c>
      <c r="B6" s="226"/>
      <c r="C6" s="226"/>
      <c r="D6" s="225" t="s">
        <v>3</v>
      </c>
      <c r="E6" s="227" t="s">
        <v>4</v>
      </c>
      <c r="F6" s="227" t="s">
        <v>4</v>
      </c>
      <c r="G6" s="227" t="s">
        <v>52</v>
      </c>
      <c r="H6" s="22" t="s">
        <v>6</v>
      </c>
      <c r="I6" s="225" t="s">
        <v>7</v>
      </c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20.25">
      <c r="A7" s="225" t="s">
        <v>80</v>
      </c>
      <c r="B7" s="225"/>
      <c r="C7" s="225"/>
      <c r="D7" s="225"/>
      <c r="E7" s="227" t="s">
        <v>9</v>
      </c>
      <c r="F7" s="227" t="s">
        <v>7</v>
      </c>
      <c r="G7" s="227" t="s">
        <v>9</v>
      </c>
      <c r="H7" s="103">
        <v>4.7800000000000002E-2</v>
      </c>
      <c r="I7" s="225" t="s">
        <v>10</v>
      </c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>
      <c r="A8" s="228" t="s">
        <v>81</v>
      </c>
      <c r="B8" s="44"/>
      <c r="C8" s="44"/>
      <c r="D8" s="229">
        <f t="shared" ref="D8:D17" si="0">SUM(B8:C8)</f>
        <v>0</v>
      </c>
      <c r="E8" s="230">
        <v>0.68500000000000005</v>
      </c>
      <c r="F8" s="231">
        <f t="shared" ref="F8:F17" si="1">D8*E8</f>
        <v>0</v>
      </c>
      <c r="G8" s="232">
        <v>10.11</v>
      </c>
      <c r="H8" s="232">
        <f>G8+(G8*$H$7)</f>
        <v>10.593257999999999</v>
      </c>
      <c r="I8" s="233">
        <f>D8*H8</f>
        <v>0</v>
      </c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>
      <c r="A9" s="228" t="s">
        <v>82</v>
      </c>
      <c r="B9" s="44"/>
      <c r="C9" s="44"/>
      <c r="D9" s="229">
        <f t="shared" si="0"/>
        <v>0</v>
      </c>
      <c r="E9" s="234">
        <v>1</v>
      </c>
      <c r="F9" s="234">
        <f t="shared" si="1"/>
        <v>0</v>
      </c>
      <c r="G9" s="232">
        <v>2.73</v>
      </c>
      <c r="H9" s="232">
        <f t="shared" ref="H9:H17" si="2">G9+(G9*$H$7)</f>
        <v>2.8604940000000001</v>
      </c>
      <c r="I9" s="233">
        <f>D9*H9</f>
        <v>0</v>
      </c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>
      <c r="A10" s="228" t="s">
        <v>83</v>
      </c>
      <c r="B10" s="44"/>
      <c r="C10" s="44"/>
      <c r="D10" s="229">
        <f t="shared" si="0"/>
        <v>0</v>
      </c>
      <c r="E10" s="230">
        <v>7.4999999999999997E-2</v>
      </c>
      <c r="F10" s="231">
        <f t="shared" si="1"/>
        <v>0</v>
      </c>
      <c r="G10" s="232">
        <v>1</v>
      </c>
      <c r="H10" s="232">
        <f t="shared" si="2"/>
        <v>1.0478000000000001</v>
      </c>
      <c r="I10" s="233">
        <f>D10*H10</f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>
      <c r="A11" s="228" t="s">
        <v>84</v>
      </c>
      <c r="B11" s="44"/>
      <c r="C11" s="44"/>
      <c r="D11" s="229">
        <f t="shared" si="0"/>
        <v>0</v>
      </c>
      <c r="E11" s="230">
        <v>0.34499999999999997</v>
      </c>
      <c r="F11" s="231">
        <f t="shared" si="1"/>
        <v>0</v>
      </c>
      <c r="G11" s="232">
        <v>0.68</v>
      </c>
      <c r="H11" s="232">
        <f t="shared" si="2"/>
        <v>0.71250400000000003</v>
      </c>
      <c r="I11" s="233">
        <f t="shared" ref="I11:I16" si="3">D11*H11</f>
        <v>0</v>
      </c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>
      <c r="A12" s="228" t="s">
        <v>85</v>
      </c>
      <c r="B12" s="44"/>
      <c r="C12" s="44"/>
      <c r="D12" s="229">
        <f t="shared" si="0"/>
        <v>0</v>
      </c>
      <c r="E12" s="230">
        <v>0.5</v>
      </c>
      <c r="F12" s="231">
        <f t="shared" si="1"/>
        <v>0</v>
      </c>
      <c r="G12" s="232">
        <v>0.36</v>
      </c>
      <c r="H12" s="232">
        <f t="shared" si="2"/>
        <v>0.37720799999999999</v>
      </c>
      <c r="I12" s="233">
        <f>D12*H12</f>
        <v>0</v>
      </c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>
      <c r="A13" s="228" t="s">
        <v>86</v>
      </c>
      <c r="B13" s="44"/>
      <c r="C13" s="44"/>
      <c r="D13" s="229">
        <f t="shared" si="0"/>
        <v>0</v>
      </c>
      <c r="E13" s="234">
        <v>0</v>
      </c>
      <c r="F13" s="234">
        <f t="shared" si="1"/>
        <v>0</v>
      </c>
      <c r="G13" s="232">
        <v>50</v>
      </c>
      <c r="H13" s="232">
        <f t="shared" si="2"/>
        <v>52.39</v>
      </c>
      <c r="I13" s="233">
        <f>D13*H13</f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>
      <c r="A14" s="228" t="s">
        <v>87</v>
      </c>
      <c r="B14" s="44"/>
      <c r="C14" s="44"/>
      <c r="D14" s="229">
        <f t="shared" si="0"/>
        <v>0</v>
      </c>
      <c r="E14" s="234">
        <v>0</v>
      </c>
      <c r="F14" s="234">
        <f t="shared" si="1"/>
        <v>0</v>
      </c>
      <c r="G14" s="232">
        <v>1.88</v>
      </c>
      <c r="H14" s="232">
        <f t="shared" si="2"/>
        <v>1.9698639999999998</v>
      </c>
      <c r="I14" s="233">
        <f t="shared" si="3"/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>
      <c r="A15" s="228" t="s">
        <v>88</v>
      </c>
      <c r="B15" s="44"/>
      <c r="C15" s="44"/>
      <c r="D15" s="229">
        <f t="shared" si="0"/>
        <v>0</v>
      </c>
      <c r="E15" s="234">
        <v>0</v>
      </c>
      <c r="F15" s="234">
        <f t="shared" si="1"/>
        <v>0</v>
      </c>
      <c r="G15" s="232">
        <v>0.38</v>
      </c>
      <c r="H15" s="232">
        <f t="shared" si="2"/>
        <v>0.39816400000000002</v>
      </c>
      <c r="I15" s="233">
        <f t="shared" si="3"/>
        <v>0</v>
      </c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>
      <c r="A16" s="228" t="s">
        <v>89</v>
      </c>
      <c r="B16" s="44"/>
      <c r="C16" s="44"/>
      <c r="D16" s="229">
        <f t="shared" si="0"/>
        <v>0</v>
      </c>
      <c r="E16" s="234">
        <v>0</v>
      </c>
      <c r="F16" s="234">
        <f t="shared" si="1"/>
        <v>0</v>
      </c>
      <c r="G16" s="232">
        <v>5</v>
      </c>
      <c r="H16" s="232">
        <f t="shared" si="2"/>
        <v>5.2389999999999999</v>
      </c>
      <c r="I16" s="233">
        <f t="shared" si="3"/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>
      <c r="A17" s="228" t="s">
        <v>49</v>
      </c>
      <c r="B17" s="44"/>
      <c r="C17" s="44"/>
      <c r="D17" s="229">
        <f t="shared" si="0"/>
        <v>0</v>
      </c>
      <c r="E17" s="234">
        <v>0</v>
      </c>
      <c r="F17" s="234">
        <f t="shared" si="1"/>
        <v>0</v>
      </c>
      <c r="G17" s="232">
        <v>4.3899999999999997</v>
      </c>
      <c r="H17" s="232">
        <f t="shared" si="2"/>
        <v>4.5998419999999998</v>
      </c>
      <c r="I17" s="233">
        <f>D17*H17</f>
        <v>0</v>
      </c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5.75" customHeight="1">
      <c r="A18" s="235"/>
      <c r="B18" s="212"/>
      <c r="C18" s="236"/>
      <c r="D18" s="237">
        <f>SUM(D8:D17)</f>
        <v>0</v>
      </c>
      <c r="E18" s="238"/>
      <c r="F18" s="239">
        <f>SUM(F8:F17)</f>
        <v>0</v>
      </c>
      <c r="G18" s="240"/>
      <c r="H18" s="240"/>
      <c r="I18" s="241">
        <f>SUM(I8:I17)</f>
        <v>0</v>
      </c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5.75" customHeight="1">
      <c r="A19" s="1"/>
      <c r="B19" s="1"/>
      <c r="C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5.75" hidden="1" customHeight="1">
      <c r="A22" s="467" t="s">
        <v>79</v>
      </c>
      <c r="B22" s="468"/>
      <c r="C22" s="468"/>
      <c r="D22" s="468"/>
      <c r="E22" s="468"/>
      <c r="F22" s="468"/>
      <c r="G22" s="468"/>
      <c r="H22" s="468"/>
      <c r="I22" s="469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5.75" hidden="1" customHeight="1">
      <c r="A23" s="470"/>
      <c r="B23" s="471"/>
      <c r="C23" s="471"/>
      <c r="D23" s="471"/>
      <c r="E23" s="471"/>
      <c r="F23" s="471"/>
      <c r="G23" s="471"/>
      <c r="H23" s="471"/>
      <c r="I23" s="472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5.75" hidden="1" customHeight="1">
      <c r="A24" s="473"/>
      <c r="B24" s="474"/>
      <c r="C24" s="474"/>
      <c r="D24" s="474"/>
      <c r="E24" s="474"/>
      <c r="F24" s="474"/>
      <c r="G24" s="474"/>
      <c r="H24" s="474"/>
      <c r="I24" s="475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5.75" hidden="1" customHeight="1">
      <c r="A25" s="213"/>
      <c r="B25" s="242"/>
      <c r="C25" s="242"/>
      <c r="D25" s="477" t="s">
        <v>90</v>
      </c>
      <c r="E25" s="478"/>
      <c r="F25" s="478"/>
      <c r="G25" s="478"/>
      <c r="H25" s="478"/>
      <c r="I25" s="478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5.75" hidden="1" customHeight="1">
      <c r="A26" s="243" t="s">
        <v>2</v>
      </c>
      <c r="B26" s="244"/>
      <c r="C26" s="244"/>
      <c r="D26" s="245" t="s">
        <v>91</v>
      </c>
      <c r="E26" s="246" t="s">
        <v>92</v>
      </c>
      <c r="F26" s="246" t="s">
        <v>93</v>
      </c>
      <c r="G26" s="246" t="s">
        <v>94</v>
      </c>
      <c r="H26" s="247"/>
      <c r="I26" s="248" t="s">
        <v>7</v>
      </c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5.75" hidden="1" customHeight="1">
      <c r="A27" s="249" t="s">
        <v>8</v>
      </c>
      <c r="B27" s="250"/>
      <c r="C27" s="250"/>
      <c r="D27" s="250"/>
      <c r="E27" s="251"/>
      <c r="F27" s="251"/>
      <c r="G27" s="251"/>
      <c r="H27" s="252"/>
      <c r="I27" s="253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5.75" hidden="1" customHeight="1">
      <c r="A28" s="254" t="s">
        <v>95</v>
      </c>
      <c r="B28" s="215"/>
      <c r="C28" s="215"/>
      <c r="D28" s="255" t="e">
        <f>SUM(#REF!)</f>
        <v>#REF!</v>
      </c>
      <c r="E28" s="256">
        <v>0.68500000000000005</v>
      </c>
      <c r="F28" s="257" t="e">
        <f t="shared" ref="F28:F33" si="4">D28*E28</f>
        <v>#REF!</v>
      </c>
      <c r="G28" s="258">
        <v>8.09</v>
      </c>
      <c r="H28" s="259"/>
      <c r="I28" s="260" t="e">
        <f t="shared" ref="I28:I35" si="5">D28*G28</f>
        <v>#REF!</v>
      </c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5.75" hidden="1" customHeight="1">
      <c r="A29" s="261" t="s">
        <v>82</v>
      </c>
      <c r="B29" s="217"/>
      <c r="C29" s="217"/>
      <c r="D29" s="262" t="e">
        <f>SUM(#REF!)</f>
        <v>#REF!</v>
      </c>
      <c r="E29" s="262">
        <v>1</v>
      </c>
      <c r="F29" s="262" t="e">
        <f t="shared" si="4"/>
        <v>#REF!</v>
      </c>
      <c r="G29" s="263">
        <v>2.1800000000000002</v>
      </c>
      <c r="H29" s="264"/>
      <c r="I29" s="265" t="e">
        <f t="shared" si="5"/>
        <v>#REF!</v>
      </c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5.75" hidden="1" customHeight="1">
      <c r="A30" s="261" t="s">
        <v>83</v>
      </c>
      <c r="B30" s="217"/>
      <c r="C30" s="217"/>
      <c r="D30" s="262" t="e">
        <f>SUM(#REF!)</f>
        <v>#REF!</v>
      </c>
      <c r="E30" s="266">
        <v>7.4999999999999997E-2</v>
      </c>
      <c r="F30" s="267" t="e">
        <f t="shared" si="4"/>
        <v>#REF!</v>
      </c>
      <c r="G30" s="263"/>
      <c r="H30" s="264"/>
      <c r="I30" s="265" t="e">
        <f t="shared" si="5"/>
        <v>#REF!</v>
      </c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5.75" hidden="1" customHeight="1">
      <c r="A31" s="261" t="s">
        <v>49</v>
      </c>
      <c r="B31" s="217"/>
      <c r="C31" s="217"/>
      <c r="D31" s="262" t="e">
        <f>SUM(#REF!)</f>
        <v>#REF!</v>
      </c>
      <c r="E31" s="266">
        <v>0</v>
      </c>
      <c r="F31" s="267" t="e">
        <f t="shared" si="4"/>
        <v>#REF!</v>
      </c>
      <c r="G31" s="263">
        <v>3.39</v>
      </c>
      <c r="H31" s="264"/>
      <c r="I31" s="265" t="e">
        <f t="shared" si="5"/>
        <v>#REF!</v>
      </c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5.75" hidden="1" customHeight="1">
      <c r="A32" s="261" t="s">
        <v>84</v>
      </c>
      <c r="B32" s="217"/>
      <c r="C32" s="217"/>
      <c r="D32" s="262" t="e">
        <f>SUM(#REF!)</f>
        <v>#REF!</v>
      </c>
      <c r="E32" s="266">
        <v>0.34499999999999997</v>
      </c>
      <c r="F32" s="267" t="e">
        <f t="shared" si="4"/>
        <v>#REF!</v>
      </c>
      <c r="G32" s="263">
        <v>0.68</v>
      </c>
      <c r="H32" s="264"/>
      <c r="I32" s="265" t="e">
        <f t="shared" si="5"/>
        <v>#REF!</v>
      </c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5.75" hidden="1" customHeight="1">
      <c r="A33" s="261" t="s">
        <v>85</v>
      </c>
      <c r="B33" s="217"/>
      <c r="C33" s="217"/>
      <c r="D33" s="262" t="e">
        <f>SUM(#REF!)</f>
        <v>#REF!</v>
      </c>
      <c r="E33" s="266">
        <v>0.5</v>
      </c>
      <c r="F33" s="267" t="e">
        <f t="shared" si="4"/>
        <v>#REF!</v>
      </c>
      <c r="G33" s="263">
        <v>0.36</v>
      </c>
      <c r="H33" s="264"/>
      <c r="I33" s="265" t="e">
        <f t="shared" si="5"/>
        <v>#REF!</v>
      </c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5.75" hidden="1" customHeight="1">
      <c r="A34" s="261" t="s">
        <v>86</v>
      </c>
      <c r="B34" s="217"/>
      <c r="C34" s="217"/>
      <c r="D34" s="262" t="e">
        <f>SUM(#REF!)</f>
        <v>#REF!</v>
      </c>
      <c r="E34" s="262"/>
      <c r="F34" s="262"/>
      <c r="G34" s="263">
        <v>50</v>
      </c>
      <c r="H34" s="264"/>
      <c r="I34" s="265" t="e">
        <f t="shared" si="5"/>
        <v>#REF!</v>
      </c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5.75" hidden="1" customHeight="1">
      <c r="A35" s="261" t="s">
        <v>96</v>
      </c>
      <c r="B35" s="217"/>
      <c r="C35" s="217"/>
      <c r="D35" s="262" t="e">
        <f>SUM(#REF!)</f>
        <v>#REF!</v>
      </c>
      <c r="E35" s="262"/>
      <c r="F35" s="262"/>
      <c r="G35" s="263">
        <v>1.88</v>
      </c>
      <c r="H35" s="264"/>
      <c r="I35" s="265" t="e">
        <f t="shared" si="5"/>
        <v>#REF!</v>
      </c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5.75" hidden="1" customHeight="1">
      <c r="A36" s="261" t="s">
        <v>97</v>
      </c>
      <c r="B36" s="217"/>
      <c r="C36" s="217"/>
      <c r="D36" s="262" t="e">
        <f>SUM(#REF!)</f>
        <v>#REF!</v>
      </c>
      <c r="E36" s="262"/>
      <c r="F36" s="262"/>
      <c r="G36" s="263">
        <v>0.38</v>
      </c>
      <c r="H36" s="268"/>
      <c r="I36" s="269" t="e">
        <f>G36*D36</f>
        <v>#REF!</v>
      </c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5.75" hidden="1" customHeight="1">
      <c r="A37" s="261" t="s">
        <v>49</v>
      </c>
      <c r="B37" s="217"/>
      <c r="C37" s="217"/>
      <c r="D37" s="262" t="e">
        <f>SUM(#REF!)</f>
        <v>#REF!</v>
      </c>
      <c r="E37" s="262"/>
      <c r="F37" s="262"/>
      <c r="G37" s="263">
        <v>4.3899999999999997</v>
      </c>
      <c r="H37" s="268"/>
      <c r="I37" s="269" t="e">
        <f>D37*G37</f>
        <v>#REF!</v>
      </c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5.75" hidden="1" customHeight="1">
      <c r="A38" s="464" t="s">
        <v>7</v>
      </c>
      <c r="B38" s="465"/>
      <c r="C38" s="465"/>
      <c r="D38" s="465"/>
      <c r="E38" s="466"/>
      <c r="F38" s="270" t="e">
        <f>SUM(F28:F37)</f>
        <v>#REF!</v>
      </c>
      <c r="G38" s="271"/>
      <c r="H38" s="271"/>
      <c r="I38" s="272" t="e">
        <f>SUM(I26:I37)</f>
        <v>#REF!</v>
      </c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5.75" hidden="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/>
    <row r="221" spans="1:19" ht="15.75" customHeight="1"/>
    <row r="222" spans="1:19" ht="15.75" customHeight="1"/>
    <row r="223" spans="1:19" ht="15.75" customHeight="1"/>
    <row r="224" spans="1:1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mergeCells count="5">
    <mergeCell ref="A38:E38"/>
    <mergeCell ref="A2:I4"/>
    <mergeCell ref="D5:I5"/>
    <mergeCell ref="A22:I24"/>
    <mergeCell ref="D25:I25"/>
  </mergeCells>
  <printOptions horizontalCentered="1"/>
  <pageMargins left="0.23622047244094491" right="0.23622047244094491" top="0.74803149606299213" bottom="0.74803149606299213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3399"/>
    <pageSetUpPr fitToPage="1"/>
  </sheetPr>
  <dimension ref="A1:AB996"/>
  <sheetViews>
    <sheetView zoomScaleNormal="100" workbookViewId="0">
      <pane xSplit="15" topLeftCell="P1" activePane="topRight" state="frozen"/>
      <selection activeCell="I33" sqref="I33"/>
      <selection pane="topRight" activeCell="Y6" sqref="Y6:Y12"/>
    </sheetView>
  </sheetViews>
  <sheetFormatPr defaultColWidth="14.42578125" defaultRowHeight="15" customHeight="1"/>
  <cols>
    <col min="1" max="1" width="1.5703125" customWidth="1"/>
    <col min="2" max="2" width="34.28515625" hidden="1" customWidth="1"/>
    <col min="3" max="3" width="11.7109375" hidden="1" customWidth="1"/>
    <col min="4" max="4" width="7" hidden="1" customWidth="1"/>
    <col min="5" max="5" width="10.7109375" hidden="1" customWidth="1"/>
    <col min="6" max="9" width="9.5703125" hidden="1" customWidth="1"/>
    <col min="10" max="10" width="8.7109375" hidden="1" customWidth="1"/>
    <col min="11" max="11" width="10.7109375" hidden="1" customWidth="1"/>
    <col min="12" max="12" width="14.7109375" hidden="1" customWidth="1"/>
    <col min="13" max="13" width="12.5703125" hidden="1" customWidth="1"/>
    <col min="14" max="14" width="7.140625" hidden="1" customWidth="1"/>
    <col min="15" max="15" width="18.42578125" style="41" bestFit="1" customWidth="1"/>
    <col min="16" max="16" width="6.85546875" style="41" customWidth="1"/>
    <col min="17" max="17" width="7.5703125" style="41" customWidth="1"/>
    <col min="18" max="18" width="7.5703125" style="41" hidden="1" customWidth="1"/>
    <col min="19" max="19" width="8.140625" style="41" hidden="1" customWidth="1"/>
    <col min="20" max="20" width="6.5703125" style="41" hidden="1" customWidth="1"/>
    <col min="21" max="21" width="8.140625" style="41" hidden="1" customWidth="1"/>
    <col min="22" max="22" width="10.85546875" style="41" hidden="1" customWidth="1"/>
    <col min="23" max="23" width="5.28515625" style="41" bestFit="1" customWidth="1"/>
    <col min="24" max="24" width="9.85546875" style="41" bestFit="1" customWidth="1"/>
    <col min="25" max="25" width="13.42578125" style="41" customWidth="1"/>
    <col min="26" max="26" width="11.42578125" style="41" bestFit="1" customWidth="1"/>
  </cols>
  <sheetData>
    <row r="1" spans="1:28" ht="19.5" customHeight="1" thickBot="1">
      <c r="A1" s="2"/>
      <c r="B1" s="482" t="s">
        <v>98</v>
      </c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83"/>
      <c r="N1" s="275"/>
      <c r="O1" s="276" t="s">
        <v>99</v>
      </c>
    </row>
    <row r="2" spans="1:28" ht="19.5" customHeight="1" thickBot="1">
      <c r="A2" s="2"/>
      <c r="B2" s="273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74"/>
      <c r="N2" s="275"/>
      <c r="O2" s="277"/>
      <c r="W2" s="484" t="s">
        <v>70</v>
      </c>
      <c r="X2" s="485"/>
      <c r="Y2" s="486"/>
      <c r="Z2" s="487"/>
      <c r="AA2" s="278"/>
      <c r="AB2" s="278"/>
    </row>
    <row r="3" spans="1:28" ht="63.75" thickBot="1">
      <c r="A3" s="2"/>
      <c r="B3" s="279" t="s">
        <v>2</v>
      </c>
      <c r="C3" s="280" t="s">
        <v>100</v>
      </c>
      <c r="D3" s="280" t="s">
        <v>101</v>
      </c>
      <c r="E3" s="280" t="s">
        <v>102</v>
      </c>
      <c r="F3" s="280" t="s">
        <v>103</v>
      </c>
      <c r="G3" s="280" t="s">
        <v>104</v>
      </c>
      <c r="H3" s="280" t="s">
        <v>105</v>
      </c>
      <c r="I3" s="280" t="s">
        <v>106</v>
      </c>
      <c r="J3" s="281" t="s">
        <v>107</v>
      </c>
      <c r="K3" s="281" t="s">
        <v>108</v>
      </c>
      <c r="L3" s="281" t="s">
        <v>109</v>
      </c>
      <c r="M3" s="282" t="s">
        <v>110</v>
      </c>
      <c r="N3" s="283"/>
      <c r="O3" s="284" t="s">
        <v>2</v>
      </c>
      <c r="P3" s="285"/>
      <c r="Q3" s="286"/>
      <c r="R3" s="287"/>
      <c r="S3" s="285"/>
      <c r="T3" s="285"/>
      <c r="U3" s="285"/>
      <c r="V3" s="288"/>
      <c r="W3" s="289" t="s">
        <v>3</v>
      </c>
      <c r="X3" s="290" t="s">
        <v>52</v>
      </c>
      <c r="Y3" s="22" t="s">
        <v>6</v>
      </c>
      <c r="Z3" s="291" t="s">
        <v>7</v>
      </c>
    </row>
    <row r="4" spans="1:28" ht="21" thickBot="1">
      <c r="A4" s="2"/>
      <c r="B4" s="292">
        <v>44836</v>
      </c>
      <c r="C4" s="293">
        <v>646</v>
      </c>
      <c r="D4" s="294">
        <v>403</v>
      </c>
      <c r="E4" s="295">
        <v>2</v>
      </c>
      <c r="F4" s="295">
        <v>1</v>
      </c>
      <c r="G4" s="295">
        <v>2</v>
      </c>
      <c r="H4" s="295">
        <v>1</v>
      </c>
      <c r="I4" s="295">
        <v>1</v>
      </c>
      <c r="J4" s="296"/>
      <c r="K4" s="296"/>
      <c r="L4" s="296"/>
      <c r="M4" s="296"/>
      <c r="N4" s="283"/>
      <c r="O4" s="297" t="s">
        <v>71</v>
      </c>
      <c r="P4" s="298"/>
      <c r="Q4" s="299"/>
      <c r="R4" s="300"/>
      <c r="S4" s="298"/>
      <c r="T4" s="298"/>
      <c r="U4" s="301"/>
      <c r="V4" s="302"/>
      <c r="W4" s="303"/>
      <c r="X4" s="304" t="s">
        <v>9</v>
      </c>
      <c r="Y4" s="305">
        <v>4.7800000000000002E-2</v>
      </c>
      <c r="Z4" s="306" t="s">
        <v>10</v>
      </c>
    </row>
    <row r="5" spans="1:28" ht="18.75">
      <c r="A5" s="2"/>
      <c r="B5" s="292">
        <v>44836</v>
      </c>
      <c r="C5" s="293">
        <v>647</v>
      </c>
      <c r="D5" s="294" t="s">
        <v>111</v>
      </c>
      <c r="E5" s="295">
        <v>2</v>
      </c>
      <c r="F5" s="295">
        <v>1</v>
      </c>
      <c r="G5" s="295">
        <v>2</v>
      </c>
      <c r="H5" s="295">
        <v>1</v>
      </c>
      <c r="I5" s="295">
        <v>1</v>
      </c>
      <c r="J5" s="296"/>
      <c r="K5" s="296"/>
      <c r="L5" s="296"/>
      <c r="M5" s="296"/>
      <c r="N5" s="283"/>
      <c r="O5" s="307" t="s">
        <v>72</v>
      </c>
      <c r="P5" s="309"/>
      <c r="Q5" s="310"/>
      <c r="R5" s="311"/>
      <c r="S5" s="309"/>
      <c r="T5" s="309"/>
      <c r="U5" s="309"/>
      <c r="V5" s="310"/>
      <c r="W5" s="312">
        <f t="shared" ref="W5:W12" si="0">SUM(P5:V5)</f>
        <v>0</v>
      </c>
      <c r="X5" s="313">
        <v>2.63</v>
      </c>
      <c r="Y5" s="314">
        <f>X5+(X5*$Y$4)</f>
        <v>2.7557139999999998</v>
      </c>
      <c r="Z5" s="315">
        <f>W5*Y5</f>
        <v>0</v>
      </c>
    </row>
    <row r="6" spans="1:28" ht="18.75">
      <c r="A6" s="2"/>
      <c r="B6" s="292">
        <v>44838</v>
      </c>
      <c r="C6" s="293">
        <v>1254</v>
      </c>
      <c r="D6" s="316">
        <v>218</v>
      </c>
      <c r="E6" s="296"/>
      <c r="F6" s="296">
        <v>1</v>
      </c>
      <c r="G6" s="296"/>
      <c r="H6" s="296">
        <v>1</v>
      </c>
      <c r="I6" s="296"/>
      <c r="J6" s="317"/>
      <c r="K6" s="317"/>
      <c r="L6" s="317"/>
      <c r="M6" s="318"/>
      <c r="N6" s="283"/>
      <c r="O6" s="319" t="s">
        <v>73</v>
      </c>
      <c r="P6" s="308"/>
      <c r="Q6" s="320"/>
      <c r="R6" s="321"/>
      <c r="S6" s="308"/>
      <c r="T6" s="308"/>
      <c r="U6" s="308"/>
      <c r="V6" s="320"/>
      <c r="W6" s="312">
        <f t="shared" si="0"/>
        <v>0</v>
      </c>
      <c r="X6" s="314">
        <v>1.92</v>
      </c>
      <c r="Y6" s="314">
        <f t="shared" ref="Y6:Y12" si="1">X6+(X6*$Y$4)</f>
        <v>2.0117759999999998</v>
      </c>
      <c r="Z6" s="315">
        <f>W6*Y6</f>
        <v>0</v>
      </c>
    </row>
    <row r="7" spans="1:28" ht="18.75">
      <c r="A7" s="2"/>
      <c r="B7" s="292">
        <v>44836</v>
      </c>
      <c r="C7" s="293">
        <v>648</v>
      </c>
      <c r="D7" s="294">
        <v>510</v>
      </c>
      <c r="E7" s="295">
        <v>2</v>
      </c>
      <c r="F7" s="295">
        <v>1</v>
      </c>
      <c r="G7" s="295">
        <v>2</v>
      </c>
      <c r="H7" s="295">
        <v>1</v>
      </c>
      <c r="I7" s="295">
        <v>1</v>
      </c>
      <c r="J7" s="296"/>
      <c r="K7" s="296"/>
      <c r="L7" s="296"/>
      <c r="M7" s="296"/>
      <c r="N7" s="283"/>
      <c r="O7" s="319" t="s">
        <v>16</v>
      </c>
      <c r="P7" s="308"/>
      <c r="Q7" s="322"/>
      <c r="R7" s="323"/>
      <c r="S7" s="219"/>
      <c r="T7" s="308"/>
      <c r="U7" s="308"/>
      <c r="V7" s="320"/>
      <c r="W7" s="312">
        <f t="shared" si="0"/>
        <v>0</v>
      </c>
      <c r="X7" s="314">
        <v>0.61</v>
      </c>
      <c r="Y7" s="314">
        <f t="shared" si="1"/>
        <v>0.639158</v>
      </c>
      <c r="Z7" s="315">
        <f t="shared" ref="Z7:Z11" si="2">W7*Y7</f>
        <v>0</v>
      </c>
    </row>
    <row r="8" spans="1:28" ht="18.75">
      <c r="A8" s="2"/>
      <c r="B8" s="292">
        <v>44837</v>
      </c>
      <c r="C8" s="293">
        <v>650</v>
      </c>
      <c r="D8" s="294">
        <v>601</v>
      </c>
      <c r="E8" s="295">
        <v>3</v>
      </c>
      <c r="F8" s="295">
        <v>2</v>
      </c>
      <c r="G8" s="295">
        <v>3</v>
      </c>
      <c r="H8" s="295">
        <v>1</v>
      </c>
      <c r="I8" s="295">
        <v>1</v>
      </c>
      <c r="J8" s="296"/>
      <c r="K8" s="296"/>
      <c r="L8" s="296"/>
      <c r="M8" s="296"/>
      <c r="N8" s="283"/>
      <c r="O8" s="319" t="s">
        <v>74</v>
      </c>
      <c r="P8" s="308"/>
      <c r="Q8" s="320"/>
      <c r="R8" s="321"/>
      <c r="S8" s="308"/>
      <c r="T8" s="308"/>
      <c r="U8" s="308"/>
      <c r="V8" s="320"/>
      <c r="W8" s="312">
        <f t="shared" si="0"/>
        <v>0</v>
      </c>
      <c r="X8" s="314">
        <v>1.47</v>
      </c>
      <c r="Y8" s="314">
        <f t="shared" si="1"/>
        <v>1.5402659999999999</v>
      </c>
      <c r="Z8" s="315">
        <f t="shared" si="2"/>
        <v>0</v>
      </c>
    </row>
    <row r="9" spans="1:28" ht="18.75">
      <c r="A9" s="2"/>
      <c r="B9" s="292">
        <v>44839</v>
      </c>
      <c r="C9" s="324">
        <v>1351</v>
      </c>
      <c r="D9" s="294">
        <v>1405</v>
      </c>
      <c r="E9" s="295">
        <v>2</v>
      </c>
      <c r="F9" s="296">
        <v>1</v>
      </c>
      <c r="G9" s="296">
        <v>2</v>
      </c>
      <c r="H9" s="296">
        <v>1</v>
      </c>
      <c r="I9" s="296">
        <v>1</v>
      </c>
      <c r="J9" s="317"/>
      <c r="K9" s="317"/>
      <c r="L9" s="317"/>
      <c r="M9" s="325"/>
      <c r="N9" s="326"/>
      <c r="O9" s="319" t="s">
        <v>75</v>
      </c>
      <c r="P9" s="308"/>
      <c r="Q9" s="320"/>
      <c r="R9" s="321"/>
      <c r="S9" s="308"/>
      <c r="T9" s="308"/>
      <c r="U9" s="308"/>
      <c r="V9" s="320"/>
      <c r="W9" s="312">
        <f t="shared" si="0"/>
        <v>0</v>
      </c>
      <c r="X9" s="314">
        <v>1.47</v>
      </c>
      <c r="Y9" s="314">
        <f t="shared" si="1"/>
        <v>1.5402659999999999</v>
      </c>
      <c r="Z9" s="315">
        <f t="shared" si="2"/>
        <v>0</v>
      </c>
    </row>
    <row r="10" spans="1:28" ht="18.75">
      <c r="A10" s="2"/>
      <c r="B10" s="292">
        <v>44843</v>
      </c>
      <c r="C10" s="324">
        <v>1352</v>
      </c>
      <c r="D10" s="294">
        <v>1208</v>
      </c>
      <c r="E10" s="295">
        <v>2</v>
      </c>
      <c r="F10" s="296">
        <v>1</v>
      </c>
      <c r="G10" s="296">
        <v>2</v>
      </c>
      <c r="H10" s="296">
        <v>1</v>
      </c>
      <c r="I10" s="296"/>
      <c r="J10" s="317"/>
      <c r="K10" s="317"/>
      <c r="L10" s="317"/>
      <c r="M10" s="325"/>
      <c r="N10" s="283"/>
      <c r="O10" s="319" t="s">
        <v>112</v>
      </c>
      <c r="P10" s="327"/>
      <c r="Q10" s="322"/>
      <c r="R10" s="328"/>
      <c r="S10" s="218"/>
      <c r="T10" s="219"/>
      <c r="U10" s="329"/>
      <c r="V10" s="330"/>
      <c r="W10" s="312">
        <f t="shared" si="0"/>
        <v>0</v>
      </c>
      <c r="X10" s="331">
        <v>5.03</v>
      </c>
      <c r="Y10" s="314">
        <f t="shared" si="1"/>
        <v>5.2704339999999998</v>
      </c>
      <c r="Z10" s="315">
        <f>W10*Y10</f>
        <v>0</v>
      </c>
    </row>
    <row r="11" spans="1:28" ht="18.75">
      <c r="A11" s="2"/>
      <c r="B11" s="292"/>
      <c r="C11" s="324"/>
      <c r="D11" s="294"/>
      <c r="E11" s="295"/>
      <c r="F11" s="296"/>
      <c r="G11" s="296"/>
      <c r="H11" s="296"/>
      <c r="I11" s="296"/>
      <c r="J11" s="317"/>
      <c r="K11" s="317"/>
      <c r="L11" s="317"/>
      <c r="M11" s="325"/>
      <c r="N11" s="283"/>
      <c r="O11" s="332" t="s">
        <v>76</v>
      </c>
      <c r="P11" s="333"/>
      <c r="Q11" s="337"/>
      <c r="R11" s="338"/>
      <c r="S11" s="334"/>
      <c r="T11" s="335"/>
      <c r="U11" s="336"/>
      <c r="V11" s="339"/>
      <c r="W11" s="312">
        <f t="shared" si="0"/>
        <v>0</v>
      </c>
      <c r="X11" s="340">
        <v>3.52</v>
      </c>
      <c r="Y11" s="314">
        <f t="shared" si="1"/>
        <v>3.688256</v>
      </c>
      <c r="Z11" s="315">
        <f t="shared" si="2"/>
        <v>0</v>
      </c>
    </row>
    <row r="12" spans="1:28" ht="19.5" thickBot="1">
      <c r="A12" s="2"/>
      <c r="B12" s="292">
        <v>44843</v>
      </c>
      <c r="C12" s="324">
        <v>1353</v>
      </c>
      <c r="D12" s="294" t="s">
        <v>111</v>
      </c>
      <c r="E12" s="295">
        <v>2</v>
      </c>
      <c r="F12" s="296">
        <v>1</v>
      </c>
      <c r="G12" s="296">
        <v>2</v>
      </c>
      <c r="H12" s="296">
        <v>1</v>
      </c>
      <c r="I12" s="296">
        <v>1</v>
      </c>
      <c r="J12" s="317"/>
      <c r="K12" s="317"/>
      <c r="L12" s="317"/>
      <c r="M12" s="325"/>
      <c r="N12" s="283"/>
      <c r="O12" s="341" t="s">
        <v>113</v>
      </c>
      <c r="P12" s="342"/>
      <c r="Q12" s="346"/>
      <c r="R12" s="347"/>
      <c r="S12" s="343"/>
      <c r="T12" s="344"/>
      <c r="U12" s="345"/>
      <c r="V12" s="348"/>
      <c r="W12" s="312">
        <f t="shared" si="0"/>
        <v>0</v>
      </c>
      <c r="X12" s="349">
        <v>8</v>
      </c>
      <c r="Y12" s="314">
        <f t="shared" si="1"/>
        <v>8.3824000000000005</v>
      </c>
      <c r="Z12" s="315">
        <f>W12*Y12</f>
        <v>0</v>
      </c>
    </row>
    <row r="13" spans="1:28" ht="19.5" thickBot="1">
      <c r="A13" s="2"/>
      <c r="B13" s="292">
        <v>44843</v>
      </c>
      <c r="C13" s="293">
        <v>1354</v>
      </c>
      <c r="D13" s="294">
        <v>510</v>
      </c>
      <c r="E13" s="296">
        <v>2</v>
      </c>
      <c r="F13" s="296">
        <v>1</v>
      </c>
      <c r="G13" s="296">
        <v>2</v>
      </c>
      <c r="H13" s="296">
        <v>1</v>
      </c>
      <c r="I13" s="296">
        <v>1</v>
      </c>
      <c r="J13" s="317"/>
      <c r="K13" s="317"/>
      <c r="L13" s="317"/>
      <c r="M13" s="325"/>
      <c r="N13" s="283"/>
      <c r="O13" s="350"/>
      <c r="P13" s="350"/>
      <c r="Q13" s="350"/>
      <c r="R13" s="350"/>
      <c r="S13" s="350"/>
      <c r="T13" s="350"/>
      <c r="U13" s="350"/>
      <c r="V13" s="350"/>
      <c r="W13" s="351">
        <f>SUM(W5:W12)</f>
        <v>0</v>
      </c>
      <c r="X13" s="352" t="s">
        <v>114</v>
      </c>
      <c r="Y13" s="353"/>
      <c r="Z13" s="354">
        <f>SUM(Z5:Z12)</f>
        <v>0</v>
      </c>
    </row>
    <row r="14" spans="1:28" ht="18.75">
      <c r="A14" s="2"/>
      <c r="B14" s="292">
        <v>44845</v>
      </c>
      <c r="C14" s="293">
        <v>1355</v>
      </c>
      <c r="D14" s="355">
        <v>201</v>
      </c>
      <c r="E14" s="296">
        <v>2</v>
      </c>
      <c r="F14" s="296">
        <v>2</v>
      </c>
      <c r="G14" s="296">
        <v>2</v>
      </c>
      <c r="H14" s="296">
        <v>1</v>
      </c>
      <c r="I14" s="296">
        <v>1</v>
      </c>
      <c r="J14" s="356"/>
      <c r="K14" s="356"/>
      <c r="L14" s="356"/>
      <c r="M14" s="325"/>
      <c r="N14" s="283"/>
      <c r="O14" s="357"/>
    </row>
    <row r="15" spans="1:28" ht="14.25" customHeight="1">
      <c r="A15" s="2"/>
      <c r="B15" s="292">
        <v>44845</v>
      </c>
      <c r="C15" s="293">
        <v>1356</v>
      </c>
      <c r="D15" s="355">
        <v>1405</v>
      </c>
      <c r="E15" s="296">
        <v>2</v>
      </c>
      <c r="F15" s="296">
        <v>1</v>
      </c>
      <c r="G15" s="296">
        <v>2</v>
      </c>
      <c r="H15" s="296">
        <v>1</v>
      </c>
      <c r="I15" s="296">
        <v>1</v>
      </c>
      <c r="J15" s="356"/>
      <c r="K15" s="356"/>
      <c r="L15" s="356"/>
      <c r="M15" s="325"/>
      <c r="N15" s="283"/>
      <c r="O15" s="358" t="s">
        <v>77</v>
      </c>
    </row>
    <row r="16" spans="1:28" ht="12.75" customHeight="1">
      <c r="A16" s="2"/>
      <c r="B16" s="292">
        <v>44851</v>
      </c>
      <c r="C16" s="293">
        <v>1302</v>
      </c>
      <c r="D16" s="355">
        <v>1208</v>
      </c>
      <c r="E16" s="296">
        <v>2</v>
      </c>
      <c r="F16" s="296">
        <v>1</v>
      </c>
      <c r="G16" s="296">
        <v>2</v>
      </c>
      <c r="H16" s="296">
        <v>1</v>
      </c>
      <c r="I16" s="296"/>
      <c r="J16" s="356"/>
      <c r="K16" s="356"/>
      <c r="L16" s="356"/>
      <c r="M16" s="325"/>
      <c r="N16" s="283"/>
      <c r="O16" s="358" t="s">
        <v>78</v>
      </c>
    </row>
    <row r="17" spans="1:15" ht="18.75">
      <c r="A17" s="2"/>
      <c r="B17" s="292">
        <v>44851</v>
      </c>
      <c r="C17" s="293">
        <v>1303</v>
      </c>
      <c r="D17" s="355">
        <v>510</v>
      </c>
      <c r="E17" s="296">
        <v>2</v>
      </c>
      <c r="F17" s="296">
        <v>1</v>
      </c>
      <c r="G17" s="296">
        <v>2</v>
      </c>
      <c r="H17" s="296">
        <v>1</v>
      </c>
      <c r="I17" s="296">
        <v>1</v>
      </c>
      <c r="J17" s="317"/>
      <c r="K17" s="317"/>
      <c r="L17" s="317"/>
      <c r="M17" s="325"/>
      <c r="N17" s="283"/>
      <c r="O17" s="2"/>
    </row>
    <row r="18" spans="1:15" ht="18.75">
      <c r="A18" s="2"/>
      <c r="B18" s="292">
        <v>44851</v>
      </c>
      <c r="C18" s="293">
        <v>1304</v>
      </c>
      <c r="D18" s="355" t="s">
        <v>111</v>
      </c>
      <c r="E18" s="296">
        <v>2</v>
      </c>
      <c r="F18" s="296">
        <v>1</v>
      </c>
      <c r="G18" s="296">
        <v>2</v>
      </c>
      <c r="H18" s="296">
        <v>1</v>
      </c>
      <c r="I18" s="296">
        <v>1</v>
      </c>
      <c r="J18" s="317"/>
      <c r="K18" s="317"/>
      <c r="L18" s="317"/>
      <c r="M18" s="325"/>
      <c r="N18" s="283"/>
      <c r="O18" s="2"/>
    </row>
    <row r="19" spans="1:15" ht="18.75">
      <c r="A19" s="2"/>
      <c r="B19" s="292">
        <v>44854</v>
      </c>
      <c r="C19" s="293">
        <v>1357</v>
      </c>
      <c r="D19" s="355">
        <v>601</v>
      </c>
      <c r="E19" s="296">
        <v>2</v>
      </c>
      <c r="F19" s="296">
        <v>1</v>
      </c>
      <c r="G19" s="296">
        <v>3</v>
      </c>
      <c r="H19" s="296">
        <v>1</v>
      </c>
      <c r="I19" s="296">
        <v>1</v>
      </c>
      <c r="J19" s="317"/>
      <c r="K19" s="317"/>
      <c r="L19" s="317"/>
      <c r="M19" s="325"/>
      <c r="N19" s="283"/>
      <c r="O19" s="2"/>
    </row>
    <row r="20" spans="1:15" ht="18.75">
      <c r="A20" s="2"/>
      <c r="B20" s="292">
        <v>44854</v>
      </c>
      <c r="C20" s="293">
        <v>1358</v>
      </c>
      <c r="D20" s="355">
        <v>1405</v>
      </c>
      <c r="E20" s="296">
        <v>2</v>
      </c>
      <c r="F20" s="296">
        <v>1</v>
      </c>
      <c r="G20" s="296">
        <v>2</v>
      </c>
      <c r="H20" s="296">
        <v>1</v>
      </c>
      <c r="I20" s="296">
        <v>1</v>
      </c>
      <c r="J20" s="317"/>
      <c r="K20" s="317"/>
      <c r="L20" s="317"/>
      <c r="M20" s="325"/>
      <c r="N20" s="283"/>
      <c r="O20" s="2"/>
    </row>
    <row r="21" spans="1:15" ht="18.75">
      <c r="A21" s="2"/>
      <c r="B21" s="292">
        <v>44855</v>
      </c>
      <c r="C21" s="293">
        <v>1359</v>
      </c>
      <c r="D21" s="355" t="s">
        <v>111</v>
      </c>
      <c r="E21" s="296">
        <v>2</v>
      </c>
      <c r="F21" s="296">
        <v>1</v>
      </c>
      <c r="G21" s="296">
        <v>2</v>
      </c>
      <c r="H21" s="296">
        <v>1</v>
      </c>
      <c r="I21" s="296">
        <v>1</v>
      </c>
      <c r="J21" s="317"/>
      <c r="K21" s="317"/>
      <c r="L21" s="317"/>
      <c r="M21" s="325"/>
      <c r="N21" s="283"/>
      <c r="O21" s="2"/>
    </row>
    <row r="22" spans="1:15" ht="18.75">
      <c r="A22" s="2"/>
      <c r="B22" s="292">
        <v>44855</v>
      </c>
      <c r="C22" s="293">
        <v>1360</v>
      </c>
      <c r="D22" s="355">
        <v>510</v>
      </c>
      <c r="E22" s="296">
        <v>2</v>
      </c>
      <c r="F22" s="296">
        <v>1</v>
      </c>
      <c r="G22" s="296">
        <v>2</v>
      </c>
      <c r="H22" s="296">
        <v>1</v>
      </c>
      <c r="I22" s="296">
        <v>1</v>
      </c>
      <c r="J22" s="317"/>
      <c r="K22" s="317"/>
      <c r="L22" s="317"/>
      <c r="M22" s="325"/>
      <c r="N22" s="283"/>
      <c r="O22" s="2"/>
    </row>
    <row r="23" spans="1:15" ht="18.75">
      <c r="A23" s="2"/>
      <c r="B23" s="292">
        <v>44855</v>
      </c>
      <c r="C23" s="293">
        <v>1361</v>
      </c>
      <c r="D23" s="355">
        <v>1208</v>
      </c>
      <c r="E23" s="296">
        <v>2</v>
      </c>
      <c r="F23" s="296">
        <v>1</v>
      </c>
      <c r="G23" s="296">
        <v>2</v>
      </c>
      <c r="H23" s="296">
        <v>1</v>
      </c>
      <c r="I23" s="296"/>
      <c r="J23" s="317"/>
      <c r="K23" s="317"/>
      <c r="L23" s="317"/>
      <c r="M23" s="325"/>
      <c r="N23" s="283"/>
      <c r="O23" s="2"/>
    </row>
    <row r="24" spans="1:15" ht="18.75">
      <c r="A24" s="2"/>
      <c r="B24" s="292">
        <v>44858</v>
      </c>
      <c r="C24" s="293">
        <v>1362</v>
      </c>
      <c r="D24" s="355">
        <v>218</v>
      </c>
      <c r="E24" s="296"/>
      <c r="F24" s="296">
        <v>1</v>
      </c>
      <c r="G24" s="296"/>
      <c r="H24" s="296">
        <v>1</v>
      </c>
      <c r="I24" s="296"/>
      <c r="J24" s="317"/>
      <c r="K24" s="317"/>
      <c r="L24" s="317"/>
      <c r="M24" s="325"/>
      <c r="N24" s="283"/>
      <c r="O24" s="2"/>
    </row>
    <row r="25" spans="1:15" ht="18.75">
      <c r="A25" s="2"/>
      <c r="B25" s="292">
        <v>44860</v>
      </c>
      <c r="C25" s="293">
        <v>1363</v>
      </c>
      <c r="D25" s="355">
        <v>1405</v>
      </c>
      <c r="E25" s="296">
        <v>2</v>
      </c>
      <c r="F25" s="296">
        <v>1</v>
      </c>
      <c r="G25" s="296">
        <v>2</v>
      </c>
      <c r="H25" s="296">
        <v>1</v>
      </c>
      <c r="I25" s="296">
        <v>1</v>
      </c>
      <c r="J25" s="317"/>
      <c r="K25" s="317"/>
      <c r="L25" s="317"/>
      <c r="M25" s="325"/>
      <c r="N25" s="283"/>
      <c r="O25" s="2"/>
    </row>
    <row r="26" spans="1:15" ht="18.75">
      <c r="A26" s="2"/>
      <c r="B26" s="292"/>
      <c r="C26" s="293"/>
      <c r="D26" s="355"/>
      <c r="E26" s="296"/>
      <c r="F26" s="296"/>
      <c r="G26" s="296"/>
      <c r="H26" s="296"/>
      <c r="I26" s="296"/>
      <c r="J26" s="317"/>
      <c r="K26" s="317"/>
      <c r="L26" s="317"/>
      <c r="M26" s="325"/>
      <c r="N26" s="283"/>
      <c r="O26" s="2"/>
    </row>
    <row r="27" spans="1:15" ht="18.75">
      <c r="A27" s="2"/>
      <c r="B27" s="292"/>
      <c r="C27" s="293"/>
      <c r="D27" s="355"/>
      <c r="E27" s="296"/>
      <c r="F27" s="296"/>
      <c r="G27" s="296"/>
      <c r="H27" s="296"/>
      <c r="I27" s="296"/>
      <c r="J27" s="317"/>
      <c r="K27" s="317"/>
      <c r="L27" s="317"/>
      <c r="M27" s="325"/>
      <c r="N27" s="283"/>
      <c r="O27" s="2"/>
    </row>
    <row r="28" spans="1:15" ht="18.75">
      <c r="A28" s="2"/>
      <c r="B28" s="292"/>
      <c r="C28" s="293"/>
      <c r="D28" s="355"/>
      <c r="E28" s="296"/>
      <c r="F28" s="296"/>
      <c r="G28" s="296"/>
      <c r="H28" s="296"/>
      <c r="I28" s="296"/>
      <c r="J28" s="317"/>
      <c r="K28" s="317"/>
      <c r="L28" s="317"/>
      <c r="M28" s="325"/>
      <c r="N28" s="283"/>
      <c r="O28" s="2"/>
    </row>
    <row r="29" spans="1:15" ht="18.75">
      <c r="A29" s="2"/>
      <c r="B29" s="292"/>
      <c r="C29" s="293"/>
      <c r="D29" s="355"/>
      <c r="E29" s="296"/>
      <c r="F29" s="296"/>
      <c r="G29" s="296"/>
      <c r="H29" s="296"/>
      <c r="I29" s="296"/>
      <c r="J29" s="317"/>
      <c r="K29" s="317"/>
      <c r="L29" s="317"/>
      <c r="M29" s="325"/>
      <c r="N29" s="283"/>
      <c r="O29" s="2"/>
    </row>
    <row r="30" spans="1:15" ht="18.75">
      <c r="A30" s="2"/>
      <c r="B30" s="292"/>
      <c r="C30" s="293"/>
      <c r="D30" s="355"/>
      <c r="E30" s="296"/>
      <c r="F30" s="296"/>
      <c r="G30" s="296"/>
      <c r="H30" s="296"/>
      <c r="I30" s="296"/>
      <c r="J30" s="317"/>
      <c r="K30" s="317"/>
      <c r="L30" s="317"/>
      <c r="M30" s="325"/>
      <c r="N30" s="283"/>
      <c r="O30" s="2"/>
    </row>
    <row r="31" spans="1:15" ht="18.75">
      <c r="A31" s="2"/>
      <c r="B31" s="292"/>
      <c r="C31" s="293"/>
      <c r="D31" s="355"/>
      <c r="E31" s="296"/>
      <c r="F31" s="296"/>
      <c r="G31" s="296"/>
      <c r="H31" s="296"/>
      <c r="I31" s="296"/>
      <c r="J31" s="317"/>
      <c r="K31" s="317"/>
      <c r="L31" s="317"/>
      <c r="M31" s="325"/>
      <c r="N31" s="283"/>
      <c r="O31" s="2"/>
    </row>
    <row r="32" spans="1:15" ht="18.75">
      <c r="A32" s="2"/>
      <c r="B32" s="292"/>
      <c r="C32" s="293"/>
      <c r="D32" s="355"/>
      <c r="E32" s="296"/>
      <c r="F32" s="296"/>
      <c r="G32" s="296"/>
      <c r="H32" s="296"/>
      <c r="I32" s="296"/>
      <c r="J32" s="317"/>
      <c r="K32" s="317"/>
      <c r="L32" s="317"/>
      <c r="M32" s="325"/>
      <c r="N32" s="283"/>
      <c r="O32" s="2"/>
    </row>
    <row r="33" spans="1:15" ht="15.75" customHeight="1">
      <c r="A33" s="2"/>
      <c r="B33" s="292"/>
      <c r="C33" s="359"/>
      <c r="D33" s="294"/>
      <c r="E33" s="294"/>
      <c r="F33" s="294"/>
      <c r="G33" s="294"/>
      <c r="H33" s="294"/>
      <c r="I33" s="294"/>
      <c r="J33" s="360"/>
      <c r="K33" s="360"/>
      <c r="L33" s="360"/>
      <c r="M33" s="325"/>
      <c r="N33" s="283"/>
      <c r="O33" s="2"/>
    </row>
    <row r="34" spans="1:15" ht="15.75" customHeight="1">
      <c r="A34" s="2"/>
      <c r="B34" s="292"/>
      <c r="C34" s="359"/>
      <c r="D34" s="294"/>
      <c r="E34" s="294"/>
      <c r="F34" s="294"/>
      <c r="G34" s="294"/>
      <c r="H34" s="294"/>
      <c r="I34" s="294"/>
      <c r="J34" s="360"/>
      <c r="K34" s="360"/>
      <c r="L34" s="360"/>
      <c r="M34" s="325"/>
      <c r="N34" s="283"/>
      <c r="O34" s="2"/>
    </row>
    <row r="35" spans="1:15" ht="15.75" customHeight="1">
      <c r="A35" s="2"/>
      <c r="B35" s="292"/>
      <c r="C35" s="359"/>
      <c r="D35" s="294"/>
      <c r="E35" s="294"/>
      <c r="F35" s="294"/>
      <c r="G35" s="294"/>
      <c r="H35" s="294"/>
      <c r="I35" s="294"/>
      <c r="J35" s="360"/>
      <c r="K35" s="360"/>
      <c r="L35" s="360"/>
      <c r="M35" s="325"/>
      <c r="N35" s="283"/>
      <c r="O35" s="2"/>
    </row>
    <row r="36" spans="1:15" ht="15.75" customHeight="1">
      <c r="A36" s="2"/>
      <c r="B36" s="292"/>
      <c r="C36" s="359"/>
      <c r="D36" s="294"/>
      <c r="E36" s="294"/>
      <c r="F36" s="294"/>
      <c r="G36" s="294"/>
      <c r="H36" s="294"/>
      <c r="I36" s="294"/>
      <c r="J36" s="360"/>
      <c r="K36" s="360"/>
      <c r="L36" s="360"/>
      <c r="M36" s="361"/>
      <c r="N36" s="283"/>
      <c r="O36" s="2"/>
    </row>
    <row r="37" spans="1:15" ht="222" hidden="1" customHeight="1">
      <c r="A37" s="2"/>
      <c r="B37" s="292"/>
      <c r="C37" s="359"/>
      <c r="D37" s="294"/>
      <c r="E37" s="294"/>
      <c r="F37" s="294"/>
      <c r="G37" s="294"/>
      <c r="H37" s="294"/>
      <c r="I37" s="294"/>
      <c r="J37" s="360"/>
      <c r="K37" s="360"/>
      <c r="L37" s="360"/>
      <c r="M37" s="361"/>
      <c r="N37" s="283"/>
      <c r="O37" s="2"/>
    </row>
    <row r="38" spans="1:15" ht="222" hidden="1" customHeight="1">
      <c r="A38" s="2"/>
      <c r="B38" s="292"/>
      <c r="C38" s="359"/>
      <c r="D38" s="294"/>
      <c r="E38" s="294"/>
      <c r="F38" s="294"/>
      <c r="G38" s="294"/>
      <c r="H38" s="294"/>
      <c r="I38" s="294"/>
      <c r="J38" s="360"/>
      <c r="K38" s="360"/>
      <c r="L38" s="360"/>
      <c r="M38" s="361"/>
      <c r="N38" s="283"/>
      <c r="O38" s="2"/>
    </row>
    <row r="39" spans="1:15" ht="222" hidden="1" customHeight="1">
      <c r="A39" s="2"/>
      <c r="B39" s="292"/>
      <c r="C39" s="359"/>
      <c r="D39" s="294"/>
      <c r="E39" s="294"/>
      <c r="F39" s="294"/>
      <c r="G39" s="294"/>
      <c r="H39" s="294"/>
      <c r="I39" s="294"/>
      <c r="J39" s="360"/>
      <c r="K39" s="360"/>
      <c r="L39" s="360"/>
      <c r="M39" s="361"/>
      <c r="N39" s="283"/>
      <c r="O39" s="2"/>
    </row>
    <row r="40" spans="1:15" ht="222" hidden="1" customHeight="1">
      <c r="A40" s="2"/>
      <c r="B40" s="292"/>
      <c r="C40" s="359"/>
      <c r="D40" s="294"/>
      <c r="E40" s="294"/>
      <c r="F40" s="294"/>
      <c r="G40" s="294"/>
      <c r="H40" s="362"/>
      <c r="I40" s="294"/>
      <c r="J40" s="360"/>
      <c r="K40" s="360"/>
      <c r="L40" s="360"/>
      <c r="M40" s="361"/>
      <c r="N40" s="283"/>
      <c r="O40" s="2"/>
    </row>
    <row r="41" spans="1:15" ht="222" hidden="1" customHeight="1">
      <c r="A41" s="2"/>
      <c r="B41" s="292"/>
      <c r="C41" s="363"/>
      <c r="D41" s="363"/>
      <c r="E41" s="363"/>
      <c r="F41" s="363"/>
      <c r="G41" s="363"/>
      <c r="H41" s="363"/>
      <c r="I41" s="363"/>
      <c r="J41" s="364"/>
      <c r="K41" s="364"/>
      <c r="L41" s="364"/>
      <c r="M41" s="361"/>
      <c r="N41" s="283"/>
      <c r="O41" s="2"/>
    </row>
    <row r="42" spans="1:15" ht="222" hidden="1" customHeight="1">
      <c r="A42" s="2"/>
      <c r="B42" s="292"/>
      <c r="C42" s="359"/>
      <c r="D42" s="365"/>
      <c r="E42" s="294"/>
      <c r="F42" s="294"/>
      <c r="G42" s="294"/>
      <c r="H42" s="362"/>
      <c r="I42" s="294"/>
      <c r="J42" s="360"/>
      <c r="K42" s="360"/>
      <c r="L42" s="360"/>
      <c r="M42" s="361"/>
      <c r="N42" s="283"/>
      <c r="O42" s="2"/>
    </row>
    <row r="43" spans="1:15" ht="15.75" customHeight="1" thickBot="1">
      <c r="A43" s="2"/>
      <c r="B43" s="292"/>
      <c r="C43" s="366"/>
      <c r="D43" s="367"/>
      <c r="E43" s="367"/>
      <c r="F43" s="367"/>
      <c r="G43" s="367"/>
      <c r="H43" s="367"/>
      <c r="I43" s="367"/>
      <c r="J43" s="368"/>
      <c r="K43" s="368"/>
      <c r="L43" s="368"/>
      <c r="M43" s="369"/>
      <c r="N43" s="283"/>
      <c r="O43" s="2"/>
    </row>
    <row r="44" spans="1:15" ht="15" customHeight="1">
      <c r="A44" s="2"/>
      <c r="B44" s="488" t="s">
        <v>115</v>
      </c>
      <c r="C44" s="489"/>
      <c r="D44" s="370"/>
      <c r="E44" s="371">
        <f t="shared" ref="E44:K44" si="3">SUM(E4:E43)</f>
        <v>39</v>
      </c>
      <c r="F44" s="371">
        <f t="shared" si="3"/>
        <v>23</v>
      </c>
      <c r="G44" s="371">
        <f t="shared" si="3"/>
        <v>40</v>
      </c>
      <c r="H44" s="371">
        <f t="shared" si="3"/>
        <v>21</v>
      </c>
      <c r="I44" s="371">
        <f t="shared" si="3"/>
        <v>16</v>
      </c>
      <c r="J44" s="371">
        <f t="shared" si="3"/>
        <v>0</v>
      </c>
      <c r="K44" s="371">
        <f t="shared" si="3"/>
        <v>0</v>
      </c>
      <c r="L44" s="371"/>
      <c r="M44" s="371">
        <f>SUM(M15:M43)</f>
        <v>0</v>
      </c>
      <c r="N44" s="275"/>
      <c r="O44" s="2"/>
    </row>
    <row r="45" spans="1:15" ht="15.75" customHeight="1">
      <c r="A45" s="2"/>
      <c r="B45" s="490" t="s">
        <v>116</v>
      </c>
      <c r="C45" s="481"/>
      <c r="D45" s="372"/>
      <c r="E45" s="373">
        <v>2.63</v>
      </c>
      <c r="F45" s="373">
        <v>1.92</v>
      </c>
      <c r="G45" s="373">
        <v>0.61</v>
      </c>
      <c r="H45" s="373">
        <v>1.47</v>
      </c>
      <c r="I45" s="373">
        <v>1.47</v>
      </c>
      <c r="J45" s="374">
        <v>8</v>
      </c>
      <c r="K45" s="374">
        <v>12</v>
      </c>
      <c r="L45" s="374"/>
      <c r="M45" s="375">
        <v>5.03</v>
      </c>
      <c r="N45" s="275"/>
      <c r="O45" s="2"/>
    </row>
    <row r="46" spans="1:15" ht="15.75" customHeight="1" thickBot="1">
      <c r="A46" s="2"/>
      <c r="B46" s="491" t="s">
        <v>117</v>
      </c>
      <c r="C46" s="466"/>
      <c r="D46" s="376"/>
      <c r="E46" s="377">
        <f>SUM(E44*E45)</f>
        <v>102.57</v>
      </c>
      <c r="F46" s="377">
        <f>SUM(F44*F45)</f>
        <v>44.16</v>
      </c>
      <c r="G46" s="377">
        <f>SUM(G44*G45)</f>
        <v>24.4</v>
      </c>
      <c r="H46" s="377">
        <f>SUM(H44*H45)</f>
        <v>30.87</v>
      </c>
      <c r="I46" s="377">
        <f>SUM(I44*I45)</f>
        <v>23.52</v>
      </c>
      <c r="J46" s="378"/>
      <c r="K46" s="378"/>
      <c r="L46" s="378"/>
      <c r="M46" s="379">
        <f>SUM(M44*M45)</f>
        <v>0</v>
      </c>
      <c r="N46" s="275"/>
      <c r="O46" s="2"/>
    </row>
    <row r="47" spans="1:15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80" t="s">
        <v>118</v>
      </c>
      <c r="N47" s="275"/>
      <c r="O47" s="2"/>
    </row>
    <row r="48" spans="1:15" ht="16.5" customHeight="1" thickBot="1">
      <c r="A48" s="2"/>
      <c r="B48" s="2"/>
      <c r="C48" s="381"/>
      <c r="D48" s="381"/>
      <c r="E48" s="381"/>
      <c r="F48" s="2"/>
      <c r="G48" s="381"/>
      <c r="H48" s="381"/>
      <c r="I48" s="2"/>
      <c r="J48" s="2"/>
      <c r="K48" s="2"/>
      <c r="L48" s="2"/>
      <c r="M48" s="382">
        <f>SUM(E46:M46)</f>
        <v>225.52</v>
      </c>
      <c r="N48" s="275"/>
      <c r="O48" s="383"/>
    </row>
    <row r="49" spans="1:15" ht="15.75" customHeight="1">
      <c r="A49" s="2"/>
      <c r="B49" s="2"/>
      <c r="C49" s="1"/>
      <c r="D49" s="1"/>
      <c r="E49" s="381"/>
      <c r="F49" s="381"/>
      <c r="G49" s="381"/>
      <c r="H49" s="381"/>
      <c r="I49" s="381"/>
      <c r="J49" s="381"/>
      <c r="K49" s="381"/>
      <c r="L49" s="381"/>
      <c r="M49" s="381"/>
      <c r="N49" s="275"/>
      <c r="O49" s="2"/>
    </row>
    <row r="50" spans="1:15" ht="15.75" customHeight="1">
      <c r="A50" s="2"/>
      <c r="B50" s="363" t="s">
        <v>119</v>
      </c>
      <c r="C50" s="492" t="s">
        <v>120</v>
      </c>
      <c r="D50" s="481"/>
      <c r="E50" s="381"/>
      <c r="F50" s="381"/>
      <c r="G50" s="381"/>
      <c r="H50" s="381"/>
      <c r="I50" s="381"/>
      <c r="J50" s="381"/>
      <c r="K50" s="381"/>
      <c r="L50" s="381"/>
      <c r="M50" s="381"/>
      <c r="N50" s="2"/>
      <c r="O50" s="2"/>
    </row>
    <row r="51" spans="1:15" ht="15.75" customHeight="1">
      <c r="A51" s="2"/>
      <c r="B51" s="363" t="s">
        <v>121</v>
      </c>
      <c r="C51" s="384" t="s">
        <v>122</v>
      </c>
      <c r="D51" s="363"/>
      <c r="E51" s="381"/>
      <c r="F51" s="2"/>
      <c r="G51" s="381"/>
      <c r="H51" s="381"/>
      <c r="I51" s="2"/>
      <c r="J51" s="2"/>
      <c r="K51" s="2"/>
      <c r="L51" s="2"/>
      <c r="M51" s="2"/>
      <c r="N51" s="2"/>
      <c r="O51" s="2"/>
    </row>
    <row r="52" spans="1:15" ht="15.75" customHeight="1">
      <c r="A52" s="2"/>
      <c r="B52" s="479"/>
      <c r="C52" s="480"/>
      <c r="D52" s="48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>
      <c r="A53" s="2"/>
      <c r="B53" s="363"/>
      <c r="C53" s="363" t="s">
        <v>123</v>
      </c>
      <c r="D53" s="36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>
      <c r="A56" s="385"/>
    </row>
    <row r="57" spans="1:15" ht="15.75" customHeight="1">
      <c r="A57" s="385"/>
    </row>
    <row r="58" spans="1:15" ht="15.75" customHeight="1">
      <c r="A58" s="385"/>
    </row>
    <row r="59" spans="1:15" ht="15.75" customHeight="1">
      <c r="A59" s="385"/>
    </row>
    <row r="60" spans="1:15" ht="15.75" customHeight="1">
      <c r="A60" s="385"/>
    </row>
    <row r="61" spans="1:15" ht="15.75" customHeight="1">
      <c r="A61" s="385"/>
    </row>
    <row r="62" spans="1:15" ht="15.75" customHeight="1">
      <c r="A62" s="385"/>
    </row>
    <row r="63" spans="1:15" ht="15.75" customHeight="1">
      <c r="A63" s="385"/>
    </row>
    <row r="64" spans="1:15" ht="15.75" customHeight="1">
      <c r="A64" s="385"/>
    </row>
    <row r="65" spans="1:15" ht="15.75" customHeight="1">
      <c r="A65" s="385"/>
    </row>
    <row r="66" spans="1:15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/>
    <row r="255" spans="1:15" ht="15.75" customHeight="1"/>
    <row r="256" spans="1:15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7">
    <mergeCell ref="B52:D52"/>
    <mergeCell ref="B1:M1"/>
    <mergeCell ref="W2:Z2"/>
    <mergeCell ref="B44:C44"/>
    <mergeCell ref="B45:C45"/>
    <mergeCell ref="B46:C46"/>
    <mergeCell ref="C50:D50"/>
  </mergeCells>
  <pageMargins left="0.23622047244094491" right="0.23622047244094491" top="0.74803149606299213" bottom="0.74803149606299213" header="0" footer="0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3399"/>
    <pageSetUpPr fitToPage="1"/>
  </sheetPr>
  <dimension ref="A1:M976"/>
  <sheetViews>
    <sheetView workbookViewId="0">
      <selection activeCell="H19" sqref="H19"/>
    </sheetView>
  </sheetViews>
  <sheetFormatPr defaultColWidth="14.42578125" defaultRowHeight="15" customHeight="1"/>
  <cols>
    <col min="1" max="1" width="22.42578125" customWidth="1"/>
    <col min="2" max="3" width="3.85546875" bestFit="1" customWidth="1"/>
    <col min="4" max="4" width="6.5703125" bestFit="1" customWidth="1"/>
    <col min="5" max="5" width="6.42578125" customWidth="1"/>
    <col min="6" max="6" width="8.42578125" customWidth="1"/>
    <col min="10" max="10" width="4" customWidth="1"/>
    <col min="11" max="11" width="10" customWidth="1"/>
    <col min="12" max="13" width="9.28515625" customWidth="1"/>
  </cols>
  <sheetData>
    <row r="1" spans="1:13" ht="15.7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493" t="s">
        <v>126</v>
      </c>
      <c r="B2" s="468"/>
      <c r="C2" s="468"/>
      <c r="D2" s="468"/>
      <c r="E2" s="468"/>
      <c r="F2" s="468"/>
      <c r="G2" s="469"/>
      <c r="H2" s="220"/>
      <c r="I2" s="386"/>
      <c r="J2" s="1"/>
      <c r="K2" s="1"/>
      <c r="L2" s="1"/>
      <c r="M2" s="1"/>
    </row>
    <row r="3" spans="1:13">
      <c r="A3" s="470"/>
      <c r="B3" s="471"/>
      <c r="C3" s="471"/>
      <c r="D3" s="471"/>
      <c r="E3" s="471"/>
      <c r="F3" s="471"/>
      <c r="G3" s="472"/>
      <c r="H3" s="221"/>
      <c r="I3" s="387"/>
      <c r="J3" s="1"/>
      <c r="K3" s="1"/>
      <c r="L3" s="1"/>
      <c r="M3" s="1"/>
    </row>
    <row r="4" spans="1:13">
      <c r="A4" s="470"/>
      <c r="B4" s="471"/>
      <c r="C4" s="471"/>
      <c r="D4" s="471"/>
      <c r="E4" s="471"/>
      <c r="F4" s="471"/>
      <c r="G4" s="472"/>
      <c r="H4" s="221"/>
      <c r="I4" s="387"/>
      <c r="J4" s="1"/>
      <c r="K4" s="1"/>
      <c r="L4" s="1"/>
      <c r="M4" s="1"/>
    </row>
    <row r="5" spans="1:13" ht="35.25" customHeight="1">
      <c r="A5" s="470"/>
      <c r="B5" s="471"/>
      <c r="C5" s="471"/>
      <c r="D5" s="471"/>
      <c r="E5" s="471"/>
      <c r="F5" s="471"/>
      <c r="G5" s="472"/>
      <c r="H5" s="221"/>
      <c r="I5" s="388"/>
      <c r="J5" s="1"/>
      <c r="K5" s="1"/>
      <c r="L5" s="1"/>
      <c r="M5" s="1"/>
    </row>
    <row r="6" spans="1:13">
      <c r="A6" s="470"/>
      <c r="B6" s="471"/>
      <c r="C6" s="471"/>
      <c r="D6" s="471"/>
      <c r="E6" s="471"/>
      <c r="F6" s="471"/>
      <c r="G6" s="472"/>
      <c r="H6" s="221"/>
      <c r="I6" s="388"/>
      <c r="J6" s="1"/>
      <c r="K6" s="1"/>
      <c r="L6" s="1"/>
      <c r="M6" s="1"/>
    </row>
    <row r="7" spans="1:13" ht="15.75" thickBot="1">
      <c r="A7" s="473"/>
      <c r="B7" s="474"/>
      <c r="C7" s="474"/>
      <c r="D7" s="474"/>
      <c r="E7" s="474"/>
      <c r="F7" s="474"/>
      <c r="G7" s="475"/>
      <c r="H7" s="222"/>
      <c r="I7" s="389"/>
      <c r="J7" s="1"/>
      <c r="K7" s="1"/>
      <c r="L7" s="1"/>
      <c r="M7" s="1"/>
    </row>
    <row r="8" spans="1:13" ht="21.75" hidden="1" customHeight="1" thickBot="1">
      <c r="A8" s="102"/>
      <c r="B8" s="390"/>
      <c r="C8" s="390"/>
      <c r="D8" s="391"/>
      <c r="E8" s="391"/>
      <c r="F8" s="391"/>
      <c r="G8" s="391"/>
      <c r="H8" s="391"/>
      <c r="I8" s="389"/>
      <c r="J8" s="1"/>
      <c r="K8" s="1"/>
      <c r="L8" s="1"/>
      <c r="M8" s="1"/>
    </row>
    <row r="9" spans="1:13" ht="21.75" hidden="1" customHeight="1" thickBot="1">
      <c r="A9" s="392"/>
      <c r="B9" s="14"/>
      <c r="C9" s="14"/>
      <c r="D9" s="214"/>
      <c r="E9" s="214"/>
      <c r="F9" s="214"/>
      <c r="G9" s="214"/>
      <c r="H9" s="214"/>
      <c r="I9" s="214"/>
      <c r="J9" s="1"/>
      <c r="K9" s="1"/>
      <c r="L9" s="1"/>
      <c r="M9" s="1"/>
    </row>
    <row r="10" spans="1:13" ht="21.75" thickBot="1">
      <c r="A10" s="393"/>
      <c r="B10" s="101"/>
      <c r="C10" s="101"/>
      <c r="D10" s="494" t="s">
        <v>124</v>
      </c>
      <c r="E10" s="495"/>
      <c r="F10" s="495"/>
      <c r="G10" s="495"/>
      <c r="H10" s="495"/>
      <c r="I10" s="496"/>
      <c r="J10" s="1"/>
      <c r="K10" s="1"/>
      <c r="L10" s="1"/>
      <c r="M10" s="1"/>
    </row>
    <row r="11" spans="1:13" ht="47.25">
      <c r="A11" s="394" t="s">
        <v>2</v>
      </c>
      <c r="B11" s="395">
        <v>15</v>
      </c>
      <c r="C11" s="395"/>
      <c r="D11" s="396" t="s">
        <v>3</v>
      </c>
      <c r="E11" s="397" t="s">
        <v>125</v>
      </c>
      <c r="F11" s="397" t="s">
        <v>65</v>
      </c>
      <c r="G11" s="398" t="s">
        <v>66</v>
      </c>
      <c r="H11" s="22" t="s">
        <v>6</v>
      </c>
      <c r="I11" s="399" t="s">
        <v>47</v>
      </c>
      <c r="J11" s="1"/>
      <c r="K11" s="216"/>
      <c r="L11" s="1"/>
      <c r="M11" s="1"/>
    </row>
    <row r="12" spans="1:13" ht="20.25">
      <c r="A12" s="400" t="s">
        <v>8</v>
      </c>
      <c r="B12" s="401"/>
      <c r="C12" s="401"/>
      <c r="D12" s="402"/>
      <c r="E12" s="403"/>
      <c r="F12" s="403"/>
      <c r="G12" s="404"/>
      <c r="H12" s="103">
        <v>4.7800000000000002E-2</v>
      </c>
      <c r="I12" s="405"/>
      <c r="J12" s="1"/>
      <c r="K12" s="1"/>
      <c r="L12" s="1"/>
      <c r="M12" s="1"/>
    </row>
    <row r="13" spans="1:13" ht="15.75">
      <c r="A13" s="406" t="s">
        <v>15</v>
      </c>
      <c r="B13" s="407"/>
      <c r="C13" s="407"/>
      <c r="D13" s="408">
        <f>SUM(B13:C13)</f>
        <v>0</v>
      </c>
      <c r="E13" s="60">
        <v>0.52500000000000002</v>
      </c>
      <c r="F13" s="60">
        <f>D13*E13</f>
        <v>0</v>
      </c>
      <c r="G13" s="409">
        <v>1.23</v>
      </c>
      <c r="H13" s="410">
        <f>G13+($G13*$H$12)</f>
        <v>1.288794</v>
      </c>
      <c r="I13" s="411">
        <f>D13*H13</f>
        <v>0</v>
      </c>
      <c r="J13" s="1"/>
      <c r="K13" s="1"/>
      <c r="L13" s="412"/>
      <c r="M13" s="1"/>
    </row>
    <row r="14" spans="1:13" ht="15.75">
      <c r="A14" s="406" t="s">
        <v>18</v>
      </c>
      <c r="B14" s="407"/>
      <c r="C14" s="407"/>
      <c r="D14" s="408">
        <f>SUM(B14:C14)</f>
        <v>0</v>
      </c>
      <c r="E14" s="60">
        <v>0.20499999999999999</v>
      </c>
      <c r="F14" s="60">
        <f>D14*E14</f>
        <v>0</v>
      </c>
      <c r="G14" s="409">
        <v>0.56999999999999995</v>
      </c>
      <c r="H14" s="410">
        <f>G14+($G14*$H$12)</f>
        <v>0.59724599999999994</v>
      </c>
      <c r="I14" s="411">
        <f>D14*H14</f>
        <v>0</v>
      </c>
      <c r="J14" s="1"/>
      <c r="K14" s="1"/>
      <c r="L14" s="412"/>
      <c r="M14" s="1"/>
    </row>
    <row r="15" spans="1:13" ht="21" thickBot="1">
      <c r="A15" s="497"/>
      <c r="B15" s="465"/>
      <c r="C15" s="465"/>
      <c r="D15" s="465"/>
      <c r="E15" s="466"/>
      <c r="F15" s="413">
        <f>SUM(F13:F14)</f>
        <v>0</v>
      </c>
      <c r="G15" s="414"/>
      <c r="H15" s="415"/>
      <c r="I15" s="416">
        <f>SUM(I13:I14)</f>
        <v>0</v>
      </c>
      <c r="J15" s="1"/>
      <c r="K15" s="1"/>
      <c r="L15" s="1"/>
      <c r="M15" s="1"/>
    </row>
    <row r="16" spans="1:13">
      <c r="A16" s="3"/>
      <c r="B16" s="3"/>
      <c r="C16" s="3"/>
      <c r="D16" s="3"/>
      <c r="E16" s="3"/>
      <c r="F16" s="3"/>
      <c r="G16" s="417"/>
      <c r="H16" s="417"/>
      <c r="I16" s="3"/>
      <c r="J16" s="1"/>
      <c r="K16" s="1"/>
      <c r="L16" s="1"/>
      <c r="M16" s="1"/>
    </row>
    <row r="17" spans="1:13">
      <c r="A17" s="3"/>
      <c r="B17" s="3"/>
      <c r="C17" s="3"/>
      <c r="D17" s="3"/>
      <c r="E17" s="3"/>
      <c r="F17" s="3"/>
      <c r="G17" s="417"/>
      <c r="H17" s="417"/>
      <c r="I17" s="3"/>
      <c r="J17" s="1"/>
      <c r="K17" s="1"/>
      <c r="L17" s="1"/>
      <c r="M17" s="1"/>
    </row>
    <row r="18" spans="1:13" ht="20.25">
      <c r="A18" s="214"/>
      <c r="B18" s="418"/>
      <c r="C18" s="418"/>
      <c r="D18" s="418"/>
      <c r="E18" s="212"/>
      <c r="F18" s="212"/>
      <c r="G18" s="212"/>
      <c r="H18" s="212"/>
      <c r="I18" s="212"/>
      <c r="J18" s="212"/>
      <c r="K18" s="1"/>
      <c r="L18" s="1"/>
      <c r="M18" s="1"/>
    </row>
    <row r="19" spans="1:13" ht="18" customHeight="1">
      <c r="A19" s="498"/>
      <c r="B19" s="499"/>
      <c r="C19" s="499"/>
      <c r="D19" s="419"/>
      <c r="E19" s="212"/>
      <c r="F19" s="212"/>
      <c r="G19" s="212"/>
      <c r="H19" s="212"/>
      <c r="I19" s="212"/>
      <c r="J19" s="1"/>
      <c r="K19" s="1"/>
      <c r="L19" s="1"/>
      <c r="M19" s="1"/>
    </row>
    <row r="20" spans="1:13" ht="16.5">
      <c r="A20" s="500"/>
      <c r="B20" s="499"/>
      <c r="C20" s="499"/>
      <c r="D20" s="420"/>
      <c r="E20" s="212"/>
      <c r="F20" s="212"/>
      <c r="G20" s="212"/>
      <c r="H20" s="212"/>
      <c r="I20" s="212"/>
      <c r="J20" s="1"/>
      <c r="K20" s="1"/>
      <c r="L20" s="1"/>
      <c r="M20" s="1"/>
    </row>
    <row r="21" spans="1:13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ht="15.75" customHeight="1"/>
    <row r="230" spans="1:13" ht="15.75" customHeight="1"/>
    <row r="231" spans="1:13" ht="15.75" customHeight="1"/>
    <row r="232" spans="1:13" ht="15.75" customHeight="1"/>
    <row r="233" spans="1:13" ht="15.75" customHeight="1"/>
    <row r="234" spans="1:13" ht="15.75" customHeight="1"/>
    <row r="235" spans="1:13" ht="15.75" customHeight="1"/>
    <row r="236" spans="1:13" ht="15.75" customHeight="1"/>
    <row r="237" spans="1:13" ht="15.75" customHeight="1"/>
    <row r="238" spans="1:13" ht="15.75" customHeight="1"/>
    <row r="239" spans="1:13" ht="15.75" customHeight="1"/>
    <row r="240" spans="1:1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5">
    <mergeCell ref="A2:G7"/>
    <mergeCell ref="D10:I10"/>
    <mergeCell ref="A15:E15"/>
    <mergeCell ref="A19:C19"/>
    <mergeCell ref="A20:C20"/>
  </mergeCells>
  <pageMargins left="0.23622047244094491" right="0.23622047244094491" top="0.74803149606299213" bottom="0.7480314960629921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6</vt:i4>
      </vt:variant>
    </vt:vector>
  </HeadingPairs>
  <TitlesOfParts>
    <vt:vector size="12" baseType="lpstr">
      <vt:lpstr>ATHOS BULCÃO</vt:lpstr>
      <vt:lpstr>POOL - MENSAL</vt:lpstr>
      <vt:lpstr>CONDOMINIO</vt:lpstr>
      <vt:lpstr>EVENTOS</vt:lpstr>
      <vt:lpstr> PPU</vt:lpstr>
      <vt:lpstr> CLUB</vt:lpstr>
      <vt:lpstr>' PPU'!Area_de_impressao</vt:lpstr>
      <vt:lpstr>'ATHOS BULCÃO'!Area_de_impressao</vt:lpstr>
      <vt:lpstr>CONDOMINIO!Area_de_impressao</vt:lpstr>
      <vt:lpstr>EVENTOS!Area_de_impressao</vt:lpstr>
      <vt:lpstr>'POOL - MENSAL'!Area_de_impressao</vt:lpstr>
      <vt:lpstr>'POOL - MENSAL'!Titulos_de_impressao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Administrativo</dc:creator>
  <cp:lastModifiedBy>Governanca 01</cp:lastModifiedBy>
  <dcterms:created xsi:type="dcterms:W3CDTF">2024-01-16T15:56:11Z</dcterms:created>
  <dcterms:modified xsi:type="dcterms:W3CDTF">2025-10-22T14:36:00Z</dcterms:modified>
</cp:coreProperties>
</file>